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6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upoitiers86-my.sharepoint.com/personal/nathael_benoit_etu_univ-poitiers_fr/Documents/Serie temporelle/SAE - SERIES TEMPORELLES/"/>
    </mc:Choice>
  </mc:AlternateContent>
  <xr:revisionPtr revIDLastSave="37" documentId="8_{3B53ED33-243A-4893-98A6-8B740E2CDCD4}" xr6:coauthVersionLast="47" xr6:coauthVersionMax="47" xr10:uidLastSave="{0AD8F959-1D47-4BA4-AF95-B861956F2CE3}"/>
  <bookViews>
    <workbookView xWindow="-120" yWindow="-120" windowWidth="29040" windowHeight="15720" tabRatio="835" firstSheet="1" activeTab="9" xr2:uid="{1E7D806D-1C80-429C-A713-78EE3AE971D9}"/>
  </bookViews>
  <sheets>
    <sheet name="dataset 1992-2025" sheetId="3" r:id="rId1"/>
    <sheet name="dataset 2011-2025" sheetId="5" r:id="rId2"/>
    <sheet name="Boite à moustache" sheetId="11" r:id="rId3"/>
    <sheet name="Additf linéaire" sheetId="7" r:id="rId4"/>
    <sheet name="Additf quadratique" sheetId="8" r:id="rId5"/>
    <sheet name="Additf exponentiel" sheetId="9" r:id="rId6"/>
    <sheet name="LES quadratique" sheetId="10" r:id="rId7"/>
    <sheet name="Prévisions" sheetId="12" r:id="rId8"/>
    <sheet name="Prévision_g" sheetId="13" r:id="rId9"/>
    <sheet name="graph_camille" sheetId="14" r:id="rId10"/>
  </sheets>
  <definedNames>
    <definedName name="_xlchart.v1.0" hidden="1">'dataset 2011-2025'!$H$13:$S$13</definedName>
    <definedName name="_xlchart.v1.1" hidden="1">'dataset 2011-2025'!$H$14:$S$14</definedName>
    <definedName name="_xlchart.v1.10" hidden="1">'dataset 2011-2025'!$L$13:$L$18</definedName>
    <definedName name="_xlchart.v1.11" hidden="1">'dataset 2011-2025'!$M$13:$M$18</definedName>
    <definedName name="_xlchart.v1.12" hidden="1">'dataset 2011-2025'!$N$13:$N$18</definedName>
    <definedName name="_xlchart.v1.13" hidden="1">'dataset 2011-2025'!$O$13:$O$18</definedName>
    <definedName name="_xlchart.v1.14" hidden="1">'dataset 2011-2025'!$P$13:$P$18</definedName>
    <definedName name="_xlchart.v1.15" hidden="1">'dataset 2011-2025'!$Q$13:$Q$18</definedName>
    <definedName name="_xlchart.v1.16" hidden="1">'dataset 2011-2025'!$R$13:$R$18</definedName>
    <definedName name="_xlchart.v1.17" hidden="1">'dataset 2011-2025'!$S$13:$S$18</definedName>
    <definedName name="_xlchart.v1.18" hidden="1">'dataset 2011-2025'!$H$10:$S$10</definedName>
    <definedName name="_xlchart.v1.19" hidden="1">'dataset 2011-2025'!$H$11:$S$11</definedName>
    <definedName name="_xlchart.v1.2" hidden="1">'dataset 2011-2025'!$H$15:$S$15</definedName>
    <definedName name="_xlchart.v1.20" hidden="1">'dataset 2011-2025'!$H$12:$S$12</definedName>
    <definedName name="_xlchart.v1.21" hidden="1">'dataset 2011-2025'!$H$13:$S$13</definedName>
    <definedName name="_xlchart.v1.22" hidden="1">'dataset 2011-2025'!$H$14:$S$14</definedName>
    <definedName name="_xlchart.v1.23" hidden="1">'dataset 2011-2025'!$H$15:$S$15</definedName>
    <definedName name="_xlchart.v1.24" hidden="1">'dataset 2011-2025'!$H$16:$S$16</definedName>
    <definedName name="_xlchart.v1.25" hidden="1">'dataset 2011-2025'!$H$17:$S$17</definedName>
    <definedName name="_xlchart.v1.26" hidden="1">'dataset 2011-2025'!$H$18:$S$18</definedName>
    <definedName name="_xlchart.v1.27" hidden="1">'dataset 2011-2025'!$H$4:$S$4</definedName>
    <definedName name="_xlchart.v1.28" hidden="1">'dataset 2011-2025'!$H$5:$S$5</definedName>
    <definedName name="_xlchart.v1.29" hidden="1">'dataset 2011-2025'!$H$6:$S$6</definedName>
    <definedName name="_xlchart.v1.3" hidden="1">'dataset 2011-2025'!$H$16:$S$16</definedName>
    <definedName name="_xlchart.v1.30" hidden="1">'dataset 2011-2025'!$H$7:$S$7</definedName>
    <definedName name="_xlchart.v1.31" hidden="1">'dataset 2011-2025'!$H$8:$S$8</definedName>
    <definedName name="_xlchart.v1.32" hidden="1">'dataset 2011-2025'!$H$9:$S$9</definedName>
    <definedName name="_xlchart.v1.33" hidden="1">'dataset 2011-2025'!$H$4:$H$18</definedName>
    <definedName name="_xlchart.v1.34" hidden="1">'dataset 2011-2025'!$I$4:$I$18</definedName>
    <definedName name="_xlchart.v1.35" hidden="1">'dataset 2011-2025'!$J$4:$J$18</definedName>
    <definedName name="_xlchart.v1.36" hidden="1">'dataset 2011-2025'!$K$4:$K$18</definedName>
    <definedName name="_xlchart.v1.37" hidden="1">'dataset 2011-2025'!$L$4:$L$18</definedName>
    <definedName name="_xlchart.v1.38" hidden="1">'dataset 2011-2025'!$M$4:$M$18</definedName>
    <definedName name="_xlchart.v1.39" hidden="1">'dataset 2011-2025'!$N$4:$N$18</definedName>
    <definedName name="_xlchart.v1.4" hidden="1">'dataset 2011-2025'!$H$17:$S$17</definedName>
    <definedName name="_xlchart.v1.40" hidden="1">'dataset 2011-2025'!$O$4:$O$18</definedName>
    <definedName name="_xlchart.v1.41" hidden="1">'dataset 2011-2025'!$P$4:$P$18</definedName>
    <definedName name="_xlchart.v1.42" hidden="1">'dataset 2011-2025'!$Q$4:$Q$18</definedName>
    <definedName name="_xlchart.v1.43" hidden="1">'dataset 2011-2025'!$R$4:$R$18</definedName>
    <definedName name="_xlchart.v1.44" hidden="1">'dataset 2011-2025'!$S$4:$S$18</definedName>
    <definedName name="_xlchart.v1.45" hidden="1">'dataset 2011-2025'!$H$4:$H$18</definedName>
    <definedName name="_xlchart.v1.46" hidden="1">'dataset 2011-2025'!$I$4:$I$18</definedName>
    <definedName name="_xlchart.v1.47" hidden="1">'dataset 2011-2025'!$J$4:$J$18</definedName>
    <definedName name="_xlchart.v1.48" hidden="1">'dataset 2011-2025'!$K$4:$K$18</definedName>
    <definedName name="_xlchart.v1.49" hidden="1">'dataset 2011-2025'!$L$4:$L$18</definedName>
    <definedName name="_xlchart.v1.5" hidden="1">'dataset 2011-2025'!$H$18:$S$18</definedName>
    <definedName name="_xlchart.v1.50" hidden="1">'dataset 2011-2025'!$M$4:$M$18</definedName>
    <definedName name="_xlchart.v1.51" hidden="1">'dataset 2011-2025'!$N$4:$N$18</definedName>
    <definedName name="_xlchart.v1.52" hidden="1">'dataset 2011-2025'!$O$4:$O$18</definedName>
    <definedName name="_xlchart.v1.53" hidden="1">'dataset 2011-2025'!$P$4:$P$18</definedName>
    <definedName name="_xlchart.v1.54" hidden="1">'dataset 2011-2025'!$Q$4:$Q$18</definedName>
    <definedName name="_xlchart.v1.55" hidden="1">'dataset 2011-2025'!$R$4:$R$18</definedName>
    <definedName name="_xlchart.v1.56" hidden="1">'dataset 2011-2025'!$S$4:$S$18</definedName>
    <definedName name="_xlchart.v1.57" hidden="1">'dataset 2011-2025'!$H$10:$S$10</definedName>
    <definedName name="_xlchart.v1.58" hidden="1">'dataset 2011-2025'!$H$11:$S$11</definedName>
    <definedName name="_xlchart.v1.59" hidden="1">'dataset 2011-2025'!$H$12:$S$12</definedName>
    <definedName name="_xlchart.v1.6" hidden="1">'dataset 2011-2025'!$H$13:$H$18</definedName>
    <definedName name="_xlchart.v1.60" hidden="1">'dataset 2011-2025'!$H$13:$S$13</definedName>
    <definedName name="_xlchart.v1.61" hidden="1">'dataset 2011-2025'!$H$14:$S$14</definedName>
    <definedName name="_xlchart.v1.62" hidden="1">'dataset 2011-2025'!$H$15:$S$15</definedName>
    <definedName name="_xlchart.v1.63" hidden="1">'dataset 2011-2025'!$H$16:$S$16</definedName>
    <definedName name="_xlchart.v1.64" hidden="1">'dataset 2011-2025'!$H$17:$S$17</definedName>
    <definedName name="_xlchart.v1.65" hidden="1">'dataset 2011-2025'!$H$18:$S$18</definedName>
    <definedName name="_xlchart.v1.66" hidden="1">'dataset 2011-2025'!$H$4:$S$4</definedName>
    <definedName name="_xlchart.v1.67" hidden="1">'dataset 2011-2025'!$H$5:$S$5</definedName>
    <definedName name="_xlchart.v1.68" hidden="1">'dataset 2011-2025'!$H$6:$S$6</definedName>
    <definedName name="_xlchart.v1.69" hidden="1">'dataset 2011-2025'!$H$7:$S$7</definedName>
    <definedName name="_xlchart.v1.7" hidden="1">'dataset 2011-2025'!$I$13:$I$18</definedName>
    <definedName name="_xlchart.v1.70" hidden="1">'dataset 2011-2025'!$H$8:$S$8</definedName>
    <definedName name="_xlchart.v1.71" hidden="1">'dataset 2011-2025'!$H$9:$S$9</definedName>
    <definedName name="_xlchart.v1.72" hidden="1">'dataset 2011-2025'!$H$10:$S$10</definedName>
    <definedName name="_xlchart.v1.73" hidden="1">'dataset 2011-2025'!$H$11:$S$11</definedName>
    <definedName name="_xlchart.v1.74" hidden="1">'dataset 2011-2025'!$H$12:$S$12</definedName>
    <definedName name="_xlchart.v1.75" hidden="1">'dataset 2011-2025'!$H$13:$S$13</definedName>
    <definedName name="_xlchart.v1.76" hidden="1">'dataset 2011-2025'!$H$14:$S$14</definedName>
    <definedName name="_xlchart.v1.77" hidden="1">'dataset 2011-2025'!$H$15:$S$15</definedName>
    <definedName name="_xlchart.v1.78" hidden="1">'dataset 2011-2025'!$H$16:$S$16</definedName>
    <definedName name="_xlchart.v1.79" hidden="1">'dataset 2011-2025'!$H$17:$S$17</definedName>
    <definedName name="_xlchart.v1.8" hidden="1">'dataset 2011-2025'!$J$13:$J$18</definedName>
    <definedName name="_xlchart.v1.80" hidden="1">'dataset 2011-2025'!$H$18:$S$18</definedName>
    <definedName name="_xlchart.v1.81" hidden="1">'dataset 2011-2025'!$H$4:$S$4</definedName>
    <definedName name="_xlchart.v1.82" hidden="1">'dataset 2011-2025'!$H$5:$S$5</definedName>
    <definedName name="_xlchart.v1.83" hidden="1">'dataset 2011-2025'!$H$6:$S$6</definedName>
    <definedName name="_xlchart.v1.84" hidden="1">'dataset 2011-2025'!$H$7:$S$7</definedName>
    <definedName name="_xlchart.v1.85" hidden="1">'dataset 2011-2025'!$H$8:$S$8</definedName>
    <definedName name="_xlchart.v1.86" hidden="1">'dataset 2011-2025'!$H$9:$S$9</definedName>
    <definedName name="_xlchart.v1.9" hidden="1">'dataset 2011-2025'!$K$13:$K$18</definedName>
    <definedName name="DonnéesExternes_1" localSheetId="0" hidden="1">'dataset 1992-2025'!$A$1:$B$407</definedName>
    <definedName name="DonnéesExternes_1" localSheetId="1" hidden="1">'dataset 2011-2025'!$A$1:$D$179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0" i="12" l="1"/>
  <c r="E200" i="12"/>
  <c r="D200" i="12"/>
  <c r="G199" i="12"/>
  <c r="E199" i="12"/>
  <c r="D199" i="12"/>
  <c r="G198" i="12"/>
  <c r="E198" i="12"/>
  <c r="D198" i="12"/>
  <c r="G197" i="12"/>
  <c r="E197" i="12"/>
  <c r="D197" i="12"/>
  <c r="G196" i="12"/>
  <c r="E196" i="12"/>
  <c r="D196" i="12"/>
  <c r="G195" i="12"/>
  <c r="E195" i="12"/>
  <c r="D195" i="12"/>
  <c r="G194" i="12"/>
  <c r="E194" i="12"/>
  <c r="D194" i="12"/>
  <c r="G193" i="12"/>
  <c r="E193" i="12"/>
  <c r="D193" i="12"/>
  <c r="G192" i="12"/>
  <c r="E192" i="12"/>
  <c r="D192" i="12"/>
  <c r="G191" i="12"/>
  <c r="E191" i="12"/>
  <c r="D191" i="12"/>
  <c r="G190" i="12"/>
  <c r="E190" i="12"/>
  <c r="D190" i="12"/>
  <c r="G189" i="12"/>
  <c r="E189" i="12"/>
  <c r="D189" i="12"/>
  <c r="G188" i="12"/>
  <c r="E188" i="12"/>
  <c r="D188" i="12"/>
  <c r="G187" i="12"/>
  <c r="E187" i="12"/>
  <c r="D187" i="12"/>
  <c r="N184" i="12"/>
  <c r="I184" i="12"/>
  <c r="F184" i="12"/>
  <c r="N180" i="12"/>
  <c r="M180" i="12"/>
  <c r="L180" i="12"/>
  <c r="K180" i="12"/>
  <c r="I180" i="12"/>
  <c r="D180" i="12"/>
  <c r="N179" i="12"/>
  <c r="M179" i="12"/>
  <c r="L179" i="12"/>
  <c r="K179" i="12"/>
  <c r="I179" i="12"/>
  <c r="D179" i="12"/>
  <c r="N178" i="12"/>
  <c r="M178" i="12"/>
  <c r="L178" i="12"/>
  <c r="K178" i="12"/>
  <c r="I178" i="12"/>
  <c r="D178" i="12"/>
  <c r="N177" i="12"/>
  <c r="M177" i="12"/>
  <c r="L177" i="12"/>
  <c r="K177" i="12"/>
  <c r="I177" i="12"/>
  <c r="D177" i="12"/>
  <c r="N176" i="12"/>
  <c r="M176" i="12"/>
  <c r="L176" i="12"/>
  <c r="K176" i="12"/>
  <c r="I176" i="12"/>
  <c r="D176" i="12"/>
  <c r="N175" i="12"/>
  <c r="M175" i="12"/>
  <c r="L175" i="12"/>
  <c r="K175" i="12"/>
  <c r="I175" i="12"/>
  <c r="D175" i="12"/>
  <c r="N174" i="12"/>
  <c r="M174" i="12"/>
  <c r="L174" i="12"/>
  <c r="K174" i="12"/>
  <c r="I174" i="12"/>
  <c r="D174" i="12"/>
  <c r="N173" i="12"/>
  <c r="M173" i="12"/>
  <c r="L173" i="12"/>
  <c r="K173" i="12"/>
  <c r="I173" i="12"/>
  <c r="D173" i="12"/>
  <c r="N172" i="12"/>
  <c r="M172" i="12"/>
  <c r="L172" i="12"/>
  <c r="K172" i="12"/>
  <c r="I172" i="12"/>
  <c r="D172" i="12"/>
  <c r="N171" i="12"/>
  <c r="M171" i="12"/>
  <c r="L171" i="12"/>
  <c r="K171" i="12"/>
  <c r="I171" i="12"/>
  <c r="D171" i="12"/>
  <c r="N170" i="12"/>
  <c r="M170" i="12"/>
  <c r="L170" i="12"/>
  <c r="K170" i="12"/>
  <c r="I170" i="12"/>
  <c r="D170" i="12"/>
  <c r="N169" i="12"/>
  <c r="M169" i="12"/>
  <c r="L169" i="12"/>
  <c r="K169" i="12"/>
  <c r="I169" i="12"/>
  <c r="D169" i="12"/>
  <c r="N168" i="12"/>
  <c r="M168" i="12"/>
  <c r="L168" i="12"/>
  <c r="K168" i="12"/>
  <c r="I168" i="12"/>
  <c r="D168" i="12"/>
  <c r="N167" i="12"/>
  <c r="M167" i="12"/>
  <c r="L167" i="12"/>
  <c r="K167" i="12"/>
  <c r="I167" i="12"/>
  <c r="D167" i="12"/>
  <c r="N166" i="12"/>
  <c r="M166" i="12"/>
  <c r="L166" i="12"/>
  <c r="K166" i="12"/>
  <c r="I166" i="12"/>
  <c r="D166" i="12"/>
  <c r="N165" i="12"/>
  <c r="M165" i="12"/>
  <c r="L165" i="12"/>
  <c r="K165" i="12"/>
  <c r="I165" i="12"/>
  <c r="D165" i="12"/>
  <c r="N164" i="12"/>
  <c r="M164" i="12"/>
  <c r="L164" i="12"/>
  <c r="K164" i="12"/>
  <c r="I164" i="12"/>
  <c r="D164" i="12"/>
  <c r="N163" i="12"/>
  <c r="M163" i="12"/>
  <c r="L163" i="12"/>
  <c r="K163" i="12"/>
  <c r="I163" i="12"/>
  <c r="D163" i="12"/>
  <c r="N162" i="12"/>
  <c r="M162" i="12"/>
  <c r="L162" i="12"/>
  <c r="K162" i="12"/>
  <c r="I162" i="12"/>
  <c r="D162" i="12"/>
  <c r="N161" i="12"/>
  <c r="M161" i="12"/>
  <c r="L161" i="12"/>
  <c r="K161" i="12"/>
  <c r="I161" i="12"/>
  <c r="D161" i="12"/>
  <c r="N160" i="12"/>
  <c r="M160" i="12"/>
  <c r="L160" i="12"/>
  <c r="K160" i="12"/>
  <c r="I160" i="12"/>
  <c r="D160" i="12"/>
  <c r="N159" i="12"/>
  <c r="M159" i="12"/>
  <c r="L159" i="12"/>
  <c r="K159" i="12"/>
  <c r="I159" i="12"/>
  <c r="D159" i="12"/>
  <c r="N158" i="12"/>
  <c r="M158" i="12"/>
  <c r="L158" i="12"/>
  <c r="K158" i="12"/>
  <c r="I158" i="12"/>
  <c r="D158" i="12"/>
  <c r="N157" i="12"/>
  <c r="M157" i="12"/>
  <c r="L157" i="12"/>
  <c r="K157" i="12"/>
  <c r="I157" i="12"/>
  <c r="D157" i="12"/>
  <c r="N156" i="12"/>
  <c r="M156" i="12"/>
  <c r="L156" i="12"/>
  <c r="K156" i="12"/>
  <c r="I156" i="12"/>
  <c r="D156" i="12"/>
  <c r="N155" i="12"/>
  <c r="M155" i="12"/>
  <c r="L155" i="12"/>
  <c r="K155" i="12"/>
  <c r="I155" i="12"/>
  <c r="D155" i="12"/>
  <c r="N154" i="12"/>
  <c r="M154" i="12"/>
  <c r="L154" i="12"/>
  <c r="K154" i="12"/>
  <c r="I154" i="12"/>
  <c r="D154" i="12"/>
  <c r="N153" i="12"/>
  <c r="M153" i="12"/>
  <c r="L153" i="12"/>
  <c r="K153" i="12"/>
  <c r="I153" i="12"/>
  <c r="D153" i="12"/>
  <c r="N152" i="12"/>
  <c r="M152" i="12"/>
  <c r="L152" i="12"/>
  <c r="K152" i="12"/>
  <c r="I152" i="12"/>
  <c r="D152" i="12"/>
  <c r="N151" i="12"/>
  <c r="M151" i="12"/>
  <c r="L151" i="12"/>
  <c r="K151" i="12"/>
  <c r="I151" i="12"/>
  <c r="D151" i="12"/>
  <c r="N150" i="12"/>
  <c r="M150" i="12"/>
  <c r="L150" i="12"/>
  <c r="K150" i="12"/>
  <c r="I150" i="12"/>
  <c r="D150" i="12"/>
  <c r="N149" i="12"/>
  <c r="M149" i="12"/>
  <c r="L149" i="12"/>
  <c r="K149" i="12"/>
  <c r="I149" i="12"/>
  <c r="D149" i="12"/>
  <c r="N148" i="12"/>
  <c r="M148" i="12"/>
  <c r="L148" i="12"/>
  <c r="K148" i="12"/>
  <c r="I148" i="12"/>
  <c r="D148" i="12"/>
  <c r="N147" i="12"/>
  <c r="M147" i="12"/>
  <c r="L147" i="12"/>
  <c r="K147" i="12"/>
  <c r="I147" i="12"/>
  <c r="D147" i="12"/>
  <c r="N146" i="12"/>
  <c r="M146" i="12"/>
  <c r="L146" i="12"/>
  <c r="K146" i="12"/>
  <c r="I146" i="12"/>
  <c r="D146" i="12"/>
  <c r="N145" i="12"/>
  <c r="M145" i="12"/>
  <c r="L145" i="12"/>
  <c r="K145" i="12"/>
  <c r="I145" i="12"/>
  <c r="D145" i="12"/>
  <c r="N144" i="12"/>
  <c r="M144" i="12"/>
  <c r="L144" i="12"/>
  <c r="K144" i="12"/>
  <c r="I144" i="12"/>
  <c r="D144" i="12"/>
  <c r="N143" i="12"/>
  <c r="M143" i="12"/>
  <c r="L143" i="12"/>
  <c r="K143" i="12"/>
  <c r="I143" i="12"/>
  <c r="D143" i="12"/>
  <c r="N142" i="12"/>
  <c r="M142" i="12"/>
  <c r="L142" i="12"/>
  <c r="K142" i="12"/>
  <c r="I142" i="12"/>
  <c r="D142" i="12"/>
  <c r="N141" i="12"/>
  <c r="M141" i="12"/>
  <c r="L141" i="12"/>
  <c r="K141" i="12"/>
  <c r="I141" i="12"/>
  <c r="D141" i="12"/>
  <c r="N140" i="12"/>
  <c r="M140" i="12"/>
  <c r="L140" i="12"/>
  <c r="K140" i="12"/>
  <c r="I140" i="12"/>
  <c r="D140" i="12"/>
  <c r="N139" i="12"/>
  <c r="M139" i="12"/>
  <c r="L139" i="12"/>
  <c r="K139" i="12"/>
  <c r="I139" i="12"/>
  <c r="D139" i="12"/>
  <c r="N138" i="12"/>
  <c r="M138" i="12"/>
  <c r="L138" i="12"/>
  <c r="K138" i="12"/>
  <c r="I138" i="12"/>
  <c r="D138" i="12"/>
  <c r="N137" i="12"/>
  <c r="M137" i="12"/>
  <c r="L137" i="12"/>
  <c r="K137" i="12"/>
  <c r="I137" i="12"/>
  <c r="D137" i="12"/>
  <c r="N136" i="12"/>
  <c r="M136" i="12"/>
  <c r="L136" i="12"/>
  <c r="K136" i="12"/>
  <c r="I136" i="12"/>
  <c r="D136" i="12"/>
  <c r="N135" i="12"/>
  <c r="M135" i="12"/>
  <c r="L135" i="12"/>
  <c r="K135" i="12"/>
  <c r="I135" i="12"/>
  <c r="D135" i="12"/>
  <c r="N134" i="12"/>
  <c r="M134" i="12"/>
  <c r="L134" i="12"/>
  <c r="K134" i="12"/>
  <c r="I134" i="12"/>
  <c r="D134" i="12"/>
  <c r="N133" i="12"/>
  <c r="M133" i="12"/>
  <c r="L133" i="12"/>
  <c r="K133" i="12"/>
  <c r="I133" i="12"/>
  <c r="D133" i="12"/>
  <c r="N132" i="12"/>
  <c r="M132" i="12"/>
  <c r="L132" i="12"/>
  <c r="K132" i="12"/>
  <c r="I132" i="12"/>
  <c r="D132" i="12"/>
  <c r="N131" i="12"/>
  <c r="M131" i="12"/>
  <c r="L131" i="12"/>
  <c r="K131" i="12"/>
  <c r="I131" i="12"/>
  <c r="D131" i="12"/>
  <c r="N130" i="12"/>
  <c r="M130" i="12"/>
  <c r="L130" i="12"/>
  <c r="K130" i="12"/>
  <c r="I130" i="12"/>
  <c r="D130" i="12"/>
  <c r="N129" i="12"/>
  <c r="M129" i="12"/>
  <c r="L129" i="12"/>
  <c r="K129" i="12"/>
  <c r="I129" i="12"/>
  <c r="D129" i="12"/>
  <c r="N128" i="12"/>
  <c r="M128" i="12"/>
  <c r="L128" i="12"/>
  <c r="K128" i="12"/>
  <c r="I128" i="12"/>
  <c r="D128" i="12"/>
  <c r="N127" i="12"/>
  <c r="M127" i="12"/>
  <c r="L127" i="12"/>
  <c r="K127" i="12"/>
  <c r="I127" i="12"/>
  <c r="D127" i="12"/>
  <c r="N126" i="12"/>
  <c r="M126" i="12"/>
  <c r="L126" i="12"/>
  <c r="K126" i="12"/>
  <c r="I126" i="12"/>
  <c r="D126" i="12"/>
  <c r="N125" i="12"/>
  <c r="M125" i="12"/>
  <c r="L125" i="12"/>
  <c r="K125" i="12"/>
  <c r="I125" i="12"/>
  <c r="D125" i="12"/>
  <c r="N124" i="12"/>
  <c r="M124" i="12"/>
  <c r="L124" i="12"/>
  <c r="K124" i="12"/>
  <c r="I124" i="12"/>
  <c r="D124" i="12"/>
  <c r="N123" i="12"/>
  <c r="M123" i="12"/>
  <c r="L123" i="12"/>
  <c r="K123" i="12"/>
  <c r="I123" i="12"/>
  <c r="D123" i="12"/>
  <c r="N122" i="12"/>
  <c r="M122" i="12"/>
  <c r="L122" i="12"/>
  <c r="K122" i="12"/>
  <c r="I122" i="12"/>
  <c r="D122" i="12"/>
  <c r="N121" i="12"/>
  <c r="M121" i="12"/>
  <c r="L121" i="12"/>
  <c r="K121" i="12"/>
  <c r="I121" i="12"/>
  <c r="D121" i="12"/>
  <c r="N120" i="12"/>
  <c r="M120" i="12"/>
  <c r="L120" i="12"/>
  <c r="K120" i="12"/>
  <c r="I120" i="12"/>
  <c r="D120" i="12"/>
  <c r="N119" i="12"/>
  <c r="M119" i="12"/>
  <c r="L119" i="12"/>
  <c r="K119" i="12"/>
  <c r="I119" i="12"/>
  <c r="D119" i="12"/>
  <c r="N118" i="12"/>
  <c r="M118" i="12"/>
  <c r="L118" i="12"/>
  <c r="K118" i="12"/>
  <c r="I118" i="12"/>
  <c r="D118" i="12"/>
  <c r="N117" i="12"/>
  <c r="M117" i="12"/>
  <c r="L117" i="12"/>
  <c r="K117" i="12"/>
  <c r="I117" i="12"/>
  <c r="D117" i="12"/>
  <c r="N116" i="12"/>
  <c r="M116" i="12"/>
  <c r="L116" i="12"/>
  <c r="K116" i="12"/>
  <c r="I116" i="12"/>
  <c r="D116" i="12"/>
  <c r="N115" i="12"/>
  <c r="M115" i="12"/>
  <c r="L115" i="12"/>
  <c r="K115" i="12"/>
  <c r="I115" i="12"/>
  <c r="D115" i="12"/>
  <c r="N114" i="12"/>
  <c r="M114" i="12"/>
  <c r="L114" i="12"/>
  <c r="K114" i="12"/>
  <c r="I114" i="12"/>
  <c r="D114" i="12"/>
  <c r="N113" i="12"/>
  <c r="M113" i="12"/>
  <c r="L113" i="12"/>
  <c r="K113" i="12"/>
  <c r="I113" i="12"/>
  <c r="D113" i="12"/>
  <c r="N112" i="12"/>
  <c r="M112" i="12"/>
  <c r="L112" i="12"/>
  <c r="K112" i="12"/>
  <c r="I112" i="12"/>
  <c r="D112" i="12"/>
  <c r="N111" i="12"/>
  <c r="M111" i="12"/>
  <c r="L111" i="12"/>
  <c r="K111" i="12"/>
  <c r="I111" i="12"/>
  <c r="D111" i="12"/>
  <c r="N110" i="12"/>
  <c r="M110" i="12"/>
  <c r="L110" i="12"/>
  <c r="K110" i="12"/>
  <c r="I110" i="12"/>
  <c r="D110" i="12"/>
  <c r="N109" i="12"/>
  <c r="M109" i="12"/>
  <c r="L109" i="12"/>
  <c r="K109" i="12"/>
  <c r="I109" i="12"/>
  <c r="D109" i="12"/>
  <c r="N108" i="12"/>
  <c r="M108" i="12"/>
  <c r="L108" i="12"/>
  <c r="K108" i="12"/>
  <c r="I108" i="12"/>
  <c r="D108" i="12"/>
  <c r="N107" i="12"/>
  <c r="M107" i="12"/>
  <c r="L107" i="12"/>
  <c r="K107" i="12"/>
  <c r="I107" i="12"/>
  <c r="D107" i="12"/>
  <c r="N106" i="12"/>
  <c r="M106" i="12"/>
  <c r="L106" i="12"/>
  <c r="K106" i="12"/>
  <c r="I106" i="12"/>
  <c r="D106" i="12"/>
  <c r="N105" i="12"/>
  <c r="M105" i="12"/>
  <c r="L105" i="12"/>
  <c r="K105" i="12"/>
  <c r="I105" i="12"/>
  <c r="D105" i="12"/>
  <c r="N104" i="12"/>
  <c r="M104" i="12"/>
  <c r="L104" i="12"/>
  <c r="K104" i="12"/>
  <c r="I104" i="12"/>
  <c r="D104" i="12"/>
  <c r="N103" i="12"/>
  <c r="M103" i="12"/>
  <c r="L103" i="12"/>
  <c r="K103" i="12"/>
  <c r="I103" i="12"/>
  <c r="D103" i="12"/>
  <c r="N102" i="12"/>
  <c r="M102" i="12"/>
  <c r="L102" i="12"/>
  <c r="K102" i="12"/>
  <c r="I102" i="12"/>
  <c r="D102" i="12"/>
  <c r="N101" i="12"/>
  <c r="M101" i="12"/>
  <c r="L101" i="12"/>
  <c r="K101" i="12"/>
  <c r="I101" i="12"/>
  <c r="D101" i="12"/>
  <c r="N100" i="12"/>
  <c r="M100" i="12"/>
  <c r="L100" i="12"/>
  <c r="K100" i="12"/>
  <c r="I100" i="12"/>
  <c r="D100" i="12"/>
  <c r="N99" i="12"/>
  <c r="M99" i="12"/>
  <c r="L99" i="12"/>
  <c r="K99" i="12"/>
  <c r="I99" i="12"/>
  <c r="D99" i="12"/>
  <c r="N98" i="12"/>
  <c r="M98" i="12"/>
  <c r="L98" i="12"/>
  <c r="K98" i="12"/>
  <c r="I98" i="12"/>
  <c r="D98" i="12"/>
  <c r="N97" i="12"/>
  <c r="M97" i="12"/>
  <c r="L97" i="12"/>
  <c r="K97" i="12"/>
  <c r="I97" i="12"/>
  <c r="D97" i="12"/>
  <c r="N96" i="12"/>
  <c r="M96" i="12"/>
  <c r="L96" i="12"/>
  <c r="K96" i="12"/>
  <c r="I96" i="12"/>
  <c r="D96" i="12"/>
  <c r="N95" i="12"/>
  <c r="M95" i="12"/>
  <c r="L95" i="12"/>
  <c r="K95" i="12"/>
  <c r="I95" i="12"/>
  <c r="D95" i="12"/>
  <c r="N94" i="12"/>
  <c r="M94" i="12"/>
  <c r="L94" i="12"/>
  <c r="K94" i="12"/>
  <c r="I94" i="12"/>
  <c r="D94" i="12"/>
  <c r="N93" i="12"/>
  <c r="M93" i="12"/>
  <c r="L93" i="12"/>
  <c r="K93" i="12"/>
  <c r="I93" i="12"/>
  <c r="D93" i="12"/>
  <c r="N92" i="12"/>
  <c r="M92" i="12"/>
  <c r="L92" i="12"/>
  <c r="K92" i="12"/>
  <c r="I92" i="12"/>
  <c r="D92" i="12"/>
  <c r="N91" i="12"/>
  <c r="M91" i="12"/>
  <c r="L91" i="12"/>
  <c r="K91" i="12"/>
  <c r="I91" i="12"/>
  <c r="D91" i="12"/>
  <c r="N90" i="12"/>
  <c r="M90" i="12"/>
  <c r="L90" i="12"/>
  <c r="K90" i="12"/>
  <c r="I90" i="12"/>
  <c r="D90" i="12"/>
  <c r="N89" i="12"/>
  <c r="M89" i="12"/>
  <c r="L89" i="12"/>
  <c r="K89" i="12"/>
  <c r="I89" i="12"/>
  <c r="D89" i="12"/>
  <c r="N88" i="12"/>
  <c r="M88" i="12"/>
  <c r="L88" i="12"/>
  <c r="K88" i="12"/>
  <c r="I88" i="12"/>
  <c r="D88" i="12"/>
  <c r="N87" i="12"/>
  <c r="M87" i="12"/>
  <c r="L87" i="12"/>
  <c r="K87" i="12"/>
  <c r="I87" i="12"/>
  <c r="D87" i="12"/>
  <c r="N86" i="12"/>
  <c r="M86" i="12"/>
  <c r="L86" i="12"/>
  <c r="K86" i="12"/>
  <c r="I86" i="12"/>
  <c r="D86" i="12"/>
  <c r="N85" i="12"/>
  <c r="M85" i="12"/>
  <c r="L85" i="12"/>
  <c r="K85" i="12"/>
  <c r="I85" i="12"/>
  <c r="D85" i="12"/>
  <c r="N84" i="12"/>
  <c r="M84" i="12"/>
  <c r="L84" i="12"/>
  <c r="K84" i="12"/>
  <c r="I84" i="12"/>
  <c r="D84" i="12"/>
  <c r="N83" i="12"/>
  <c r="M83" i="12"/>
  <c r="L83" i="12"/>
  <c r="K83" i="12"/>
  <c r="I83" i="12"/>
  <c r="D83" i="12"/>
  <c r="N82" i="12"/>
  <c r="M82" i="12"/>
  <c r="L82" i="12"/>
  <c r="K82" i="12"/>
  <c r="I82" i="12"/>
  <c r="D82" i="12"/>
  <c r="N81" i="12"/>
  <c r="M81" i="12"/>
  <c r="L81" i="12"/>
  <c r="K81" i="12"/>
  <c r="I81" i="12"/>
  <c r="D81" i="12"/>
  <c r="N80" i="12"/>
  <c r="M80" i="12"/>
  <c r="L80" i="12"/>
  <c r="K80" i="12"/>
  <c r="I80" i="12"/>
  <c r="D80" i="12"/>
  <c r="N79" i="12"/>
  <c r="M79" i="12"/>
  <c r="L79" i="12"/>
  <c r="K79" i="12"/>
  <c r="I79" i="12"/>
  <c r="D79" i="12"/>
  <c r="N78" i="12"/>
  <c r="M78" i="12"/>
  <c r="L78" i="12"/>
  <c r="K78" i="12"/>
  <c r="I78" i="12"/>
  <c r="D78" i="12"/>
  <c r="N77" i="12"/>
  <c r="M77" i="12"/>
  <c r="L77" i="12"/>
  <c r="K77" i="12"/>
  <c r="I77" i="12"/>
  <c r="D77" i="12"/>
  <c r="N76" i="12"/>
  <c r="M76" i="12"/>
  <c r="L76" i="12"/>
  <c r="K76" i="12"/>
  <c r="I76" i="12"/>
  <c r="D76" i="12"/>
  <c r="N75" i="12"/>
  <c r="M75" i="12"/>
  <c r="L75" i="12"/>
  <c r="K75" i="12"/>
  <c r="I75" i="12"/>
  <c r="D75" i="12"/>
  <c r="N74" i="12"/>
  <c r="M74" i="12"/>
  <c r="L74" i="12"/>
  <c r="K74" i="12"/>
  <c r="I74" i="12"/>
  <c r="D74" i="12"/>
  <c r="N73" i="12"/>
  <c r="M73" i="12"/>
  <c r="L73" i="12"/>
  <c r="K73" i="12"/>
  <c r="I73" i="12"/>
  <c r="D73" i="12"/>
  <c r="N72" i="12"/>
  <c r="M72" i="12"/>
  <c r="L72" i="12"/>
  <c r="K72" i="12"/>
  <c r="I72" i="12"/>
  <c r="D72" i="12"/>
  <c r="N71" i="12"/>
  <c r="M71" i="12"/>
  <c r="L71" i="12"/>
  <c r="K71" i="12"/>
  <c r="I71" i="12"/>
  <c r="D71" i="12"/>
  <c r="N70" i="12"/>
  <c r="M70" i="12"/>
  <c r="L70" i="12"/>
  <c r="K70" i="12"/>
  <c r="I70" i="12"/>
  <c r="D70" i="12"/>
  <c r="N69" i="12"/>
  <c r="M69" i="12"/>
  <c r="L69" i="12"/>
  <c r="K69" i="12"/>
  <c r="I69" i="12"/>
  <c r="D69" i="12"/>
  <c r="N68" i="12"/>
  <c r="M68" i="12"/>
  <c r="L68" i="12"/>
  <c r="K68" i="12"/>
  <c r="I68" i="12"/>
  <c r="D68" i="12"/>
  <c r="N67" i="12"/>
  <c r="M67" i="12"/>
  <c r="L67" i="12"/>
  <c r="K67" i="12"/>
  <c r="I67" i="12"/>
  <c r="D67" i="12"/>
  <c r="N66" i="12"/>
  <c r="M66" i="12"/>
  <c r="L66" i="12"/>
  <c r="K66" i="12"/>
  <c r="I66" i="12"/>
  <c r="D66" i="12"/>
  <c r="N65" i="12"/>
  <c r="M65" i="12"/>
  <c r="L65" i="12"/>
  <c r="K65" i="12"/>
  <c r="I65" i="12"/>
  <c r="D65" i="12"/>
  <c r="N64" i="12"/>
  <c r="M64" i="12"/>
  <c r="L64" i="12"/>
  <c r="K64" i="12"/>
  <c r="I64" i="12"/>
  <c r="D64" i="12"/>
  <c r="N63" i="12"/>
  <c r="M63" i="12"/>
  <c r="L63" i="12"/>
  <c r="K63" i="12"/>
  <c r="I63" i="12"/>
  <c r="D63" i="12"/>
  <c r="N62" i="12"/>
  <c r="M62" i="12"/>
  <c r="L62" i="12"/>
  <c r="K62" i="12"/>
  <c r="I62" i="12"/>
  <c r="D62" i="12"/>
  <c r="N61" i="12"/>
  <c r="M61" i="12"/>
  <c r="L61" i="12"/>
  <c r="K61" i="12"/>
  <c r="I61" i="12"/>
  <c r="D61" i="12"/>
  <c r="N60" i="12"/>
  <c r="M60" i="12"/>
  <c r="L60" i="12"/>
  <c r="K60" i="12"/>
  <c r="I60" i="12"/>
  <c r="D60" i="12"/>
  <c r="N59" i="12"/>
  <c r="M59" i="12"/>
  <c r="L59" i="12"/>
  <c r="K59" i="12"/>
  <c r="I59" i="12"/>
  <c r="D59" i="12"/>
  <c r="N58" i="12"/>
  <c r="M58" i="12"/>
  <c r="L58" i="12"/>
  <c r="K58" i="12"/>
  <c r="I58" i="12"/>
  <c r="D58" i="12"/>
  <c r="N57" i="12"/>
  <c r="M57" i="12"/>
  <c r="L57" i="12"/>
  <c r="K57" i="12"/>
  <c r="I57" i="12"/>
  <c r="D57" i="12"/>
  <c r="N56" i="12"/>
  <c r="M56" i="12"/>
  <c r="L56" i="12"/>
  <c r="K56" i="12"/>
  <c r="I56" i="12"/>
  <c r="D56" i="12"/>
  <c r="N55" i="12"/>
  <c r="M55" i="12"/>
  <c r="L55" i="12"/>
  <c r="K55" i="12"/>
  <c r="I55" i="12"/>
  <c r="D55" i="12"/>
  <c r="N54" i="12"/>
  <c r="M54" i="12"/>
  <c r="L54" i="12"/>
  <c r="K54" i="12"/>
  <c r="I54" i="12"/>
  <c r="D54" i="12"/>
  <c r="N53" i="12"/>
  <c r="M53" i="12"/>
  <c r="L53" i="12"/>
  <c r="K53" i="12"/>
  <c r="I53" i="12"/>
  <c r="D53" i="12"/>
  <c r="N52" i="12"/>
  <c r="M52" i="12"/>
  <c r="L52" i="12"/>
  <c r="K52" i="12"/>
  <c r="I52" i="12"/>
  <c r="D52" i="12"/>
  <c r="N51" i="12"/>
  <c r="M51" i="12"/>
  <c r="L51" i="12"/>
  <c r="K51" i="12"/>
  <c r="I51" i="12"/>
  <c r="D51" i="12"/>
  <c r="N50" i="12"/>
  <c r="M50" i="12"/>
  <c r="L50" i="12"/>
  <c r="K50" i="12"/>
  <c r="I50" i="12"/>
  <c r="D50" i="12"/>
  <c r="N49" i="12"/>
  <c r="M49" i="12"/>
  <c r="L49" i="12"/>
  <c r="K49" i="12"/>
  <c r="I49" i="12"/>
  <c r="D49" i="12"/>
  <c r="N48" i="12"/>
  <c r="M48" i="12"/>
  <c r="L48" i="12"/>
  <c r="K48" i="12"/>
  <c r="I48" i="12"/>
  <c r="D48" i="12"/>
  <c r="N47" i="12"/>
  <c r="M47" i="12"/>
  <c r="L47" i="12"/>
  <c r="K47" i="12"/>
  <c r="I47" i="12"/>
  <c r="D47" i="12"/>
  <c r="N46" i="12"/>
  <c r="M46" i="12"/>
  <c r="L46" i="12"/>
  <c r="K46" i="12"/>
  <c r="I46" i="12"/>
  <c r="D46" i="12"/>
  <c r="N45" i="12"/>
  <c r="M45" i="12"/>
  <c r="L45" i="12"/>
  <c r="K45" i="12"/>
  <c r="I45" i="12"/>
  <c r="D45" i="12"/>
  <c r="N44" i="12"/>
  <c r="M44" i="12"/>
  <c r="L44" i="12"/>
  <c r="K44" i="12"/>
  <c r="I44" i="12"/>
  <c r="D44" i="12"/>
  <c r="N43" i="12"/>
  <c r="M43" i="12"/>
  <c r="L43" i="12"/>
  <c r="K43" i="12"/>
  <c r="I43" i="12"/>
  <c r="D43" i="12"/>
  <c r="N42" i="12"/>
  <c r="M42" i="12"/>
  <c r="L42" i="12"/>
  <c r="K42" i="12"/>
  <c r="I42" i="12"/>
  <c r="D42" i="12"/>
  <c r="N41" i="12"/>
  <c r="M41" i="12"/>
  <c r="L41" i="12"/>
  <c r="K41" i="12"/>
  <c r="I41" i="12"/>
  <c r="D41" i="12"/>
  <c r="N40" i="12"/>
  <c r="M40" i="12"/>
  <c r="L40" i="12"/>
  <c r="K40" i="12"/>
  <c r="I40" i="12"/>
  <c r="D40" i="12"/>
  <c r="N39" i="12"/>
  <c r="M39" i="12"/>
  <c r="L39" i="12"/>
  <c r="K39" i="12"/>
  <c r="I39" i="12"/>
  <c r="D39" i="12"/>
  <c r="N38" i="12"/>
  <c r="M38" i="12"/>
  <c r="L38" i="12"/>
  <c r="K38" i="12"/>
  <c r="I38" i="12"/>
  <c r="D38" i="12"/>
  <c r="N37" i="12"/>
  <c r="M37" i="12"/>
  <c r="L37" i="12"/>
  <c r="K37" i="12"/>
  <c r="I37" i="12"/>
  <c r="D37" i="12"/>
  <c r="N36" i="12"/>
  <c r="M36" i="12"/>
  <c r="L36" i="12"/>
  <c r="K36" i="12"/>
  <c r="I36" i="12"/>
  <c r="D36" i="12"/>
  <c r="N35" i="12"/>
  <c r="M35" i="12"/>
  <c r="L35" i="12"/>
  <c r="K35" i="12"/>
  <c r="I35" i="12"/>
  <c r="D35" i="12"/>
  <c r="N34" i="12"/>
  <c r="M34" i="12"/>
  <c r="L34" i="12"/>
  <c r="K34" i="12"/>
  <c r="I34" i="12"/>
  <c r="D34" i="12"/>
  <c r="N33" i="12"/>
  <c r="M33" i="12"/>
  <c r="L33" i="12"/>
  <c r="K33" i="12"/>
  <c r="I33" i="12"/>
  <c r="D33" i="12"/>
  <c r="N32" i="12"/>
  <c r="M32" i="12"/>
  <c r="L32" i="12"/>
  <c r="K32" i="12"/>
  <c r="I32" i="12"/>
  <c r="D32" i="12"/>
  <c r="N31" i="12"/>
  <c r="M31" i="12"/>
  <c r="L31" i="12"/>
  <c r="K31" i="12"/>
  <c r="I31" i="12"/>
  <c r="D31" i="12"/>
  <c r="N30" i="12"/>
  <c r="M30" i="12"/>
  <c r="L30" i="12"/>
  <c r="K30" i="12"/>
  <c r="I30" i="12"/>
  <c r="D30" i="12"/>
  <c r="N29" i="12"/>
  <c r="M29" i="12"/>
  <c r="L29" i="12"/>
  <c r="K29" i="12"/>
  <c r="I29" i="12"/>
  <c r="D29" i="12"/>
  <c r="N28" i="12"/>
  <c r="M28" i="12"/>
  <c r="L28" i="12"/>
  <c r="K28" i="12"/>
  <c r="I28" i="12"/>
  <c r="D28" i="12"/>
  <c r="N27" i="12"/>
  <c r="M27" i="12"/>
  <c r="L27" i="12"/>
  <c r="K27" i="12"/>
  <c r="I27" i="12"/>
  <c r="D27" i="12"/>
  <c r="N26" i="12"/>
  <c r="M26" i="12"/>
  <c r="L26" i="12"/>
  <c r="K26" i="12"/>
  <c r="I26" i="12"/>
  <c r="D26" i="12"/>
  <c r="N25" i="12"/>
  <c r="M25" i="12"/>
  <c r="L25" i="12"/>
  <c r="K25" i="12"/>
  <c r="I25" i="12"/>
  <c r="D25" i="12"/>
  <c r="N24" i="12"/>
  <c r="M24" i="12"/>
  <c r="L24" i="12"/>
  <c r="K24" i="12"/>
  <c r="I24" i="12"/>
  <c r="D24" i="12"/>
  <c r="N23" i="12"/>
  <c r="M23" i="12"/>
  <c r="L23" i="12"/>
  <c r="K23" i="12"/>
  <c r="I23" i="12"/>
  <c r="D23" i="12"/>
  <c r="N22" i="12"/>
  <c r="M22" i="12"/>
  <c r="L22" i="12"/>
  <c r="K22" i="12"/>
  <c r="I22" i="12"/>
  <c r="D22" i="12"/>
  <c r="N21" i="12"/>
  <c r="M21" i="12"/>
  <c r="L21" i="12"/>
  <c r="K21" i="12"/>
  <c r="I21" i="12"/>
  <c r="D21" i="12"/>
  <c r="N20" i="12"/>
  <c r="M20" i="12"/>
  <c r="L20" i="12"/>
  <c r="K20" i="12"/>
  <c r="I20" i="12"/>
  <c r="D20" i="12"/>
  <c r="N19" i="12"/>
  <c r="M19" i="12"/>
  <c r="L19" i="12"/>
  <c r="K19" i="12"/>
  <c r="I19" i="12"/>
  <c r="D19" i="12"/>
  <c r="N18" i="12"/>
  <c r="M18" i="12"/>
  <c r="L18" i="12"/>
  <c r="K18" i="12"/>
  <c r="I18" i="12"/>
  <c r="D18" i="12"/>
  <c r="N17" i="12"/>
  <c r="M17" i="12"/>
  <c r="L17" i="12"/>
  <c r="K17" i="12"/>
  <c r="I17" i="12"/>
  <c r="D17" i="12"/>
  <c r="N16" i="12"/>
  <c r="M16" i="12"/>
  <c r="L16" i="12"/>
  <c r="K16" i="12"/>
  <c r="I16" i="12"/>
  <c r="D16" i="12"/>
  <c r="N15" i="12"/>
  <c r="M15" i="12"/>
  <c r="L15" i="12"/>
  <c r="K15" i="12"/>
  <c r="I15" i="12"/>
  <c r="D15" i="12"/>
  <c r="N14" i="12"/>
  <c r="M14" i="12"/>
  <c r="L14" i="12"/>
  <c r="K14" i="12"/>
  <c r="J14" i="12"/>
  <c r="I14" i="12"/>
  <c r="D14" i="12"/>
  <c r="N13" i="12"/>
  <c r="M13" i="12"/>
  <c r="L13" i="12"/>
  <c r="K13" i="12"/>
  <c r="J13" i="12"/>
  <c r="I13" i="12"/>
  <c r="D13" i="12"/>
  <c r="N12" i="12"/>
  <c r="M12" i="12"/>
  <c r="L12" i="12"/>
  <c r="K12" i="12"/>
  <c r="J12" i="12"/>
  <c r="I12" i="12"/>
  <c r="D12" i="12"/>
  <c r="N11" i="12"/>
  <c r="M11" i="12"/>
  <c r="L11" i="12"/>
  <c r="K11" i="12"/>
  <c r="J11" i="12"/>
  <c r="I11" i="12"/>
  <c r="D11" i="12"/>
  <c r="N10" i="12"/>
  <c r="M10" i="12"/>
  <c r="L10" i="12"/>
  <c r="K10" i="12"/>
  <c r="J10" i="12"/>
  <c r="I10" i="12"/>
  <c r="D10" i="12"/>
  <c r="N9" i="12"/>
  <c r="M9" i="12"/>
  <c r="L9" i="12"/>
  <c r="K9" i="12"/>
  <c r="J9" i="12"/>
  <c r="I9" i="12"/>
  <c r="D9" i="12"/>
  <c r="N8" i="12"/>
  <c r="M8" i="12"/>
  <c r="L8" i="12"/>
  <c r="K8" i="12"/>
  <c r="J8" i="12"/>
  <c r="I8" i="12"/>
  <c r="D8" i="12"/>
  <c r="N7" i="12"/>
  <c r="M7" i="12"/>
  <c r="L7" i="12"/>
  <c r="K7" i="12"/>
  <c r="J7" i="12"/>
  <c r="I7" i="12"/>
  <c r="D7" i="12"/>
  <c r="N6" i="12"/>
  <c r="M6" i="12"/>
  <c r="L6" i="12"/>
  <c r="K6" i="12"/>
  <c r="J6" i="12"/>
  <c r="I6" i="12"/>
  <c r="D6" i="12"/>
  <c r="N5" i="12"/>
  <c r="M5" i="12"/>
  <c r="L5" i="12"/>
  <c r="K5" i="12"/>
  <c r="J5" i="12"/>
  <c r="I5" i="12"/>
  <c r="D5" i="12"/>
  <c r="N4" i="12"/>
  <c r="M4" i="12"/>
  <c r="L4" i="12"/>
  <c r="K4" i="12"/>
  <c r="J4" i="12"/>
  <c r="I4" i="12"/>
  <c r="D4" i="12"/>
  <c r="N3" i="12"/>
  <c r="M3" i="12"/>
  <c r="L3" i="12"/>
  <c r="K3" i="12"/>
  <c r="J3" i="12"/>
  <c r="I3" i="12"/>
  <c r="D3" i="12"/>
  <c r="N184" i="10"/>
  <c r="M184" i="10"/>
  <c r="L184" i="10"/>
  <c r="N182" i="10"/>
  <c r="M182" i="10"/>
  <c r="L182" i="10"/>
  <c r="I182" i="10"/>
  <c r="H182" i="10"/>
  <c r="G182" i="10"/>
  <c r="N181" i="10"/>
  <c r="M181" i="10"/>
  <c r="L181" i="10"/>
  <c r="I181" i="10"/>
  <c r="H181" i="10"/>
  <c r="G181" i="10"/>
  <c r="N180" i="10"/>
  <c r="M180" i="10"/>
  <c r="L180" i="10"/>
  <c r="I180" i="10"/>
  <c r="H180" i="10"/>
  <c r="G180" i="10"/>
  <c r="N179" i="10"/>
  <c r="M179" i="10"/>
  <c r="L179" i="10"/>
  <c r="I179" i="10"/>
  <c r="H179" i="10"/>
  <c r="G179" i="10"/>
  <c r="B179" i="10"/>
  <c r="N178" i="10"/>
  <c r="M178" i="10"/>
  <c r="L178" i="10"/>
  <c r="I178" i="10"/>
  <c r="H178" i="10"/>
  <c r="G178" i="10"/>
  <c r="B178" i="10"/>
  <c r="N177" i="10"/>
  <c r="M177" i="10"/>
  <c r="L177" i="10"/>
  <c r="I177" i="10"/>
  <c r="H177" i="10"/>
  <c r="G177" i="10"/>
  <c r="B177" i="10"/>
  <c r="N176" i="10"/>
  <c r="M176" i="10"/>
  <c r="L176" i="10"/>
  <c r="I176" i="10"/>
  <c r="H176" i="10"/>
  <c r="G176" i="10"/>
  <c r="B176" i="10"/>
  <c r="N175" i="10"/>
  <c r="M175" i="10"/>
  <c r="L175" i="10"/>
  <c r="I175" i="10"/>
  <c r="H175" i="10"/>
  <c r="G175" i="10"/>
  <c r="B175" i="10"/>
  <c r="N174" i="10"/>
  <c r="M174" i="10"/>
  <c r="L174" i="10"/>
  <c r="I174" i="10"/>
  <c r="H174" i="10"/>
  <c r="G174" i="10"/>
  <c r="B174" i="10"/>
  <c r="N173" i="10"/>
  <c r="M173" i="10"/>
  <c r="L173" i="10"/>
  <c r="I173" i="10"/>
  <c r="H173" i="10"/>
  <c r="G173" i="10"/>
  <c r="B173" i="10"/>
  <c r="N172" i="10"/>
  <c r="M172" i="10"/>
  <c r="L172" i="10"/>
  <c r="I172" i="10"/>
  <c r="H172" i="10"/>
  <c r="G172" i="10"/>
  <c r="B172" i="10"/>
  <c r="N171" i="10"/>
  <c r="M171" i="10"/>
  <c r="L171" i="10"/>
  <c r="I171" i="10"/>
  <c r="H171" i="10"/>
  <c r="G171" i="10"/>
  <c r="B171" i="10"/>
  <c r="N170" i="10"/>
  <c r="M170" i="10"/>
  <c r="L170" i="10"/>
  <c r="I170" i="10"/>
  <c r="H170" i="10"/>
  <c r="G170" i="10"/>
  <c r="B170" i="10"/>
  <c r="N169" i="10"/>
  <c r="M169" i="10"/>
  <c r="L169" i="10"/>
  <c r="I169" i="10"/>
  <c r="H169" i="10"/>
  <c r="G169" i="10"/>
  <c r="B169" i="10"/>
  <c r="N168" i="10"/>
  <c r="M168" i="10"/>
  <c r="L168" i="10"/>
  <c r="I168" i="10"/>
  <c r="H168" i="10"/>
  <c r="G168" i="10"/>
  <c r="B168" i="10"/>
  <c r="N167" i="10"/>
  <c r="M167" i="10"/>
  <c r="L167" i="10"/>
  <c r="I167" i="10"/>
  <c r="H167" i="10"/>
  <c r="G167" i="10"/>
  <c r="B167" i="10"/>
  <c r="N166" i="10"/>
  <c r="M166" i="10"/>
  <c r="L166" i="10"/>
  <c r="I166" i="10"/>
  <c r="H166" i="10"/>
  <c r="G166" i="10"/>
  <c r="B166" i="10"/>
  <c r="N165" i="10"/>
  <c r="M165" i="10"/>
  <c r="L165" i="10"/>
  <c r="I165" i="10"/>
  <c r="H165" i="10"/>
  <c r="G165" i="10"/>
  <c r="B165" i="10"/>
  <c r="N164" i="10"/>
  <c r="M164" i="10"/>
  <c r="L164" i="10"/>
  <c r="I164" i="10"/>
  <c r="H164" i="10"/>
  <c r="G164" i="10"/>
  <c r="B164" i="10"/>
  <c r="N163" i="10"/>
  <c r="M163" i="10"/>
  <c r="L163" i="10"/>
  <c r="I163" i="10"/>
  <c r="H163" i="10"/>
  <c r="G163" i="10"/>
  <c r="B163" i="10"/>
  <c r="N162" i="10"/>
  <c r="M162" i="10"/>
  <c r="L162" i="10"/>
  <c r="I162" i="10"/>
  <c r="H162" i="10"/>
  <c r="G162" i="10"/>
  <c r="B162" i="10"/>
  <c r="N161" i="10"/>
  <c r="M161" i="10"/>
  <c r="L161" i="10"/>
  <c r="I161" i="10"/>
  <c r="H161" i="10"/>
  <c r="G161" i="10"/>
  <c r="B161" i="10"/>
  <c r="N160" i="10"/>
  <c r="M160" i="10"/>
  <c r="L160" i="10"/>
  <c r="I160" i="10"/>
  <c r="H160" i="10"/>
  <c r="G160" i="10"/>
  <c r="B160" i="10"/>
  <c r="N159" i="10"/>
  <c r="M159" i="10"/>
  <c r="L159" i="10"/>
  <c r="I159" i="10"/>
  <c r="H159" i="10"/>
  <c r="G159" i="10"/>
  <c r="B159" i="10"/>
  <c r="N158" i="10"/>
  <c r="M158" i="10"/>
  <c r="L158" i="10"/>
  <c r="I158" i="10"/>
  <c r="H158" i="10"/>
  <c r="G158" i="10"/>
  <c r="B158" i="10"/>
  <c r="N157" i="10"/>
  <c r="M157" i="10"/>
  <c r="L157" i="10"/>
  <c r="I157" i="10"/>
  <c r="H157" i="10"/>
  <c r="G157" i="10"/>
  <c r="B157" i="10"/>
  <c r="N156" i="10"/>
  <c r="M156" i="10"/>
  <c r="L156" i="10"/>
  <c r="I156" i="10"/>
  <c r="H156" i="10"/>
  <c r="G156" i="10"/>
  <c r="B156" i="10"/>
  <c r="N155" i="10"/>
  <c r="M155" i="10"/>
  <c r="L155" i="10"/>
  <c r="I155" i="10"/>
  <c r="H155" i="10"/>
  <c r="G155" i="10"/>
  <c r="B155" i="10"/>
  <c r="N154" i="10"/>
  <c r="M154" i="10"/>
  <c r="L154" i="10"/>
  <c r="I154" i="10"/>
  <c r="H154" i="10"/>
  <c r="G154" i="10"/>
  <c r="B154" i="10"/>
  <c r="N153" i="10"/>
  <c r="M153" i="10"/>
  <c r="L153" i="10"/>
  <c r="I153" i="10"/>
  <c r="H153" i="10"/>
  <c r="G153" i="10"/>
  <c r="B153" i="10"/>
  <c r="N152" i="10"/>
  <c r="M152" i="10"/>
  <c r="L152" i="10"/>
  <c r="I152" i="10"/>
  <c r="H152" i="10"/>
  <c r="G152" i="10"/>
  <c r="B152" i="10"/>
  <c r="N151" i="10"/>
  <c r="M151" i="10"/>
  <c r="L151" i="10"/>
  <c r="I151" i="10"/>
  <c r="H151" i="10"/>
  <c r="G151" i="10"/>
  <c r="B151" i="10"/>
  <c r="N150" i="10"/>
  <c r="M150" i="10"/>
  <c r="L150" i="10"/>
  <c r="I150" i="10"/>
  <c r="H150" i="10"/>
  <c r="G150" i="10"/>
  <c r="B150" i="10"/>
  <c r="N149" i="10"/>
  <c r="M149" i="10"/>
  <c r="L149" i="10"/>
  <c r="I149" i="10"/>
  <c r="H149" i="10"/>
  <c r="G149" i="10"/>
  <c r="B149" i="10"/>
  <c r="N148" i="10"/>
  <c r="M148" i="10"/>
  <c r="L148" i="10"/>
  <c r="I148" i="10"/>
  <c r="H148" i="10"/>
  <c r="G148" i="10"/>
  <c r="B148" i="10"/>
  <c r="N147" i="10"/>
  <c r="M147" i="10"/>
  <c r="L147" i="10"/>
  <c r="I147" i="10"/>
  <c r="H147" i="10"/>
  <c r="G147" i="10"/>
  <c r="B147" i="10"/>
  <c r="N146" i="10"/>
  <c r="M146" i="10"/>
  <c r="L146" i="10"/>
  <c r="I146" i="10"/>
  <c r="H146" i="10"/>
  <c r="G146" i="10"/>
  <c r="B146" i="10"/>
  <c r="N145" i="10"/>
  <c r="M145" i="10"/>
  <c r="L145" i="10"/>
  <c r="I145" i="10"/>
  <c r="H145" i="10"/>
  <c r="G145" i="10"/>
  <c r="B145" i="10"/>
  <c r="N144" i="10"/>
  <c r="M144" i="10"/>
  <c r="L144" i="10"/>
  <c r="I144" i="10"/>
  <c r="H144" i="10"/>
  <c r="G144" i="10"/>
  <c r="B144" i="10"/>
  <c r="N143" i="10"/>
  <c r="M143" i="10"/>
  <c r="L143" i="10"/>
  <c r="I143" i="10"/>
  <c r="H143" i="10"/>
  <c r="G143" i="10"/>
  <c r="B143" i="10"/>
  <c r="N142" i="10"/>
  <c r="M142" i="10"/>
  <c r="L142" i="10"/>
  <c r="I142" i="10"/>
  <c r="H142" i="10"/>
  <c r="G142" i="10"/>
  <c r="B142" i="10"/>
  <c r="N141" i="10"/>
  <c r="M141" i="10"/>
  <c r="L141" i="10"/>
  <c r="I141" i="10"/>
  <c r="H141" i="10"/>
  <c r="G141" i="10"/>
  <c r="B141" i="10"/>
  <c r="N140" i="10"/>
  <c r="M140" i="10"/>
  <c r="L140" i="10"/>
  <c r="I140" i="10"/>
  <c r="H140" i="10"/>
  <c r="G140" i="10"/>
  <c r="B140" i="10"/>
  <c r="N139" i="10"/>
  <c r="M139" i="10"/>
  <c r="L139" i="10"/>
  <c r="I139" i="10"/>
  <c r="H139" i="10"/>
  <c r="G139" i="10"/>
  <c r="B139" i="10"/>
  <c r="N138" i="10"/>
  <c r="M138" i="10"/>
  <c r="L138" i="10"/>
  <c r="I138" i="10"/>
  <c r="H138" i="10"/>
  <c r="G138" i="10"/>
  <c r="B138" i="10"/>
  <c r="N137" i="10"/>
  <c r="M137" i="10"/>
  <c r="L137" i="10"/>
  <c r="I137" i="10"/>
  <c r="H137" i="10"/>
  <c r="G137" i="10"/>
  <c r="B137" i="10"/>
  <c r="N136" i="10"/>
  <c r="M136" i="10"/>
  <c r="L136" i="10"/>
  <c r="I136" i="10"/>
  <c r="H136" i="10"/>
  <c r="G136" i="10"/>
  <c r="B136" i="10"/>
  <c r="N135" i="10"/>
  <c r="M135" i="10"/>
  <c r="L135" i="10"/>
  <c r="I135" i="10"/>
  <c r="H135" i="10"/>
  <c r="G135" i="10"/>
  <c r="B135" i="10"/>
  <c r="N134" i="10"/>
  <c r="M134" i="10"/>
  <c r="L134" i="10"/>
  <c r="I134" i="10"/>
  <c r="H134" i="10"/>
  <c r="G134" i="10"/>
  <c r="B134" i="10"/>
  <c r="N133" i="10"/>
  <c r="M133" i="10"/>
  <c r="L133" i="10"/>
  <c r="I133" i="10"/>
  <c r="H133" i="10"/>
  <c r="G133" i="10"/>
  <c r="B133" i="10"/>
  <c r="N132" i="10"/>
  <c r="M132" i="10"/>
  <c r="L132" i="10"/>
  <c r="I132" i="10"/>
  <c r="H132" i="10"/>
  <c r="G132" i="10"/>
  <c r="B132" i="10"/>
  <c r="N131" i="10"/>
  <c r="M131" i="10"/>
  <c r="L131" i="10"/>
  <c r="I131" i="10"/>
  <c r="H131" i="10"/>
  <c r="G131" i="10"/>
  <c r="B131" i="10"/>
  <c r="N130" i="10"/>
  <c r="M130" i="10"/>
  <c r="L130" i="10"/>
  <c r="I130" i="10"/>
  <c r="H130" i="10"/>
  <c r="G130" i="10"/>
  <c r="B130" i="10"/>
  <c r="N129" i="10"/>
  <c r="M129" i="10"/>
  <c r="L129" i="10"/>
  <c r="I129" i="10"/>
  <c r="H129" i="10"/>
  <c r="G129" i="10"/>
  <c r="B129" i="10"/>
  <c r="N128" i="10"/>
  <c r="M128" i="10"/>
  <c r="L128" i="10"/>
  <c r="I128" i="10"/>
  <c r="H128" i="10"/>
  <c r="G128" i="10"/>
  <c r="B128" i="10"/>
  <c r="N127" i="10"/>
  <c r="M127" i="10"/>
  <c r="L127" i="10"/>
  <c r="I127" i="10"/>
  <c r="H127" i="10"/>
  <c r="G127" i="10"/>
  <c r="B127" i="10"/>
  <c r="N126" i="10"/>
  <c r="M126" i="10"/>
  <c r="L126" i="10"/>
  <c r="I126" i="10"/>
  <c r="H126" i="10"/>
  <c r="G126" i="10"/>
  <c r="B126" i="10"/>
  <c r="N125" i="10"/>
  <c r="M125" i="10"/>
  <c r="L125" i="10"/>
  <c r="I125" i="10"/>
  <c r="H125" i="10"/>
  <c r="G125" i="10"/>
  <c r="B125" i="10"/>
  <c r="N124" i="10"/>
  <c r="M124" i="10"/>
  <c r="L124" i="10"/>
  <c r="I124" i="10"/>
  <c r="H124" i="10"/>
  <c r="G124" i="10"/>
  <c r="B124" i="10"/>
  <c r="N123" i="10"/>
  <c r="M123" i="10"/>
  <c r="L123" i="10"/>
  <c r="I123" i="10"/>
  <c r="H123" i="10"/>
  <c r="G123" i="10"/>
  <c r="B123" i="10"/>
  <c r="N122" i="10"/>
  <c r="M122" i="10"/>
  <c r="L122" i="10"/>
  <c r="I122" i="10"/>
  <c r="H122" i="10"/>
  <c r="G122" i="10"/>
  <c r="B122" i="10"/>
  <c r="N121" i="10"/>
  <c r="M121" i="10"/>
  <c r="L121" i="10"/>
  <c r="I121" i="10"/>
  <c r="H121" i="10"/>
  <c r="G121" i="10"/>
  <c r="B121" i="10"/>
  <c r="N120" i="10"/>
  <c r="M120" i="10"/>
  <c r="L120" i="10"/>
  <c r="I120" i="10"/>
  <c r="H120" i="10"/>
  <c r="G120" i="10"/>
  <c r="B120" i="10"/>
  <c r="N119" i="10"/>
  <c r="M119" i="10"/>
  <c r="L119" i="10"/>
  <c r="I119" i="10"/>
  <c r="H119" i="10"/>
  <c r="G119" i="10"/>
  <c r="B119" i="10"/>
  <c r="N118" i="10"/>
  <c r="M118" i="10"/>
  <c r="L118" i="10"/>
  <c r="I118" i="10"/>
  <c r="H118" i="10"/>
  <c r="G118" i="10"/>
  <c r="B118" i="10"/>
  <c r="N117" i="10"/>
  <c r="M117" i="10"/>
  <c r="L117" i="10"/>
  <c r="I117" i="10"/>
  <c r="H117" i="10"/>
  <c r="G117" i="10"/>
  <c r="B117" i="10"/>
  <c r="N116" i="10"/>
  <c r="M116" i="10"/>
  <c r="L116" i="10"/>
  <c r="I116" i="10"/>
  <c r="H116" i="10"/>
  <c r="G116" i="10"/>
  <c r="B116" i="10"/>
  <c r="N115" i="10"/>
  <c r="M115" i="10"/>
  <c r="L115" i="10"/>
  <c r="I115" i="10"/>
  <c r="H115" i="10"/>
  <c r="G115" i="10"/>
  <c r="B115" i="10"/>
  <c r="N114" i="10"/>
  <c r="M114" i="10"/>
  <c r="L114" i="10"/>
  <c r="I114" i="10"/>
  <c r="H114" i="10"/>
  <c r="G114" i="10"/>
  <c r="B114" i="10"/>
  <c r="N113" i="10"/>
  <c r="M113" i="10"/>
  <c r="L113" i="10"/>
  <c r="I113" i="10"/>
  <c r="H113" i="10"/>
  <c r="G113" i="10"/>
  <c r="B113" i="10"/>
  <c r="N112" i="10"/>
  <c r="M112" i="10"/>
  <c r="L112" i="10"/>
  <c r="I112" i="10"/>
  <c r="H112" i="10"/>
  <c r="G112" i="10"/>
  <c r="B112" i="10"/>
  <c r="N111" i="10"/>
  <c r="M111" i="10"/>
  <c r="L111" i="10"/>
  <c r="I111" i="10"/>
  <c r="H111" i="10"/>
  <c r="G111" i="10"/>
  <c r="B111" i="10"/>
  <c r="N110" i="10"/>
  <c r="M110" i="10"/>
  <c r="L110" i="10"/>
  <c r="I110" i="10"/>
  <c r="H110" i="10"/>
  <c r="G110" i="10"/>
  <c r="B110" i="10"/>
  <c r="N109" i="10"/>
  <c r="M109" i="10"/>
  <c r="L109" i="10"/>
  <c r="I109" i="10"/>
  <c r="H109" i="10"/>
  <c r="G109" i="10"/>
  <c r="B109" i="10"/>
  <c r="N108" i="10"/>
  <c r="M108" i="10"/>
  <c r="L108" i="10"/>
  <c r="I108" i="10"/>
  <c r="H108" i="10"/>
  <c r="G108" i="10"/>
  <c r="B108" i="10"/>
  <c r="N107" i="10"/>
  <c r="M107" i="10"/>
  <c r="L107" i="10"/>
  <c r="I107" i="10"/>
  <c r="H107" i="10"/>
  <c r="G107" i="10"/>
  <c r="B107" i="10"/>
  <c r="N106" i="10"/>
  <c r="M106" i="10"/>
  <c r="L106" i="10"/>
  <c r="I106" i="10"/>
  <c r="H106" i="10"/>
  <c r="G106" i="10"/>
  <c r="B106" i="10"/>
  <c r="N105" i="10"/>
  <c r="M105" i="10"/>
  <c r="L105" i="10"/>
  <c r="I105" i="10"/>
  <c r="H105" i="10"/>
  <c r="G105" i="10"/>
  <c r="B105" i="10"/>
  <c r="N104" i="10"/>
  <c r="M104" i="10"/>
  <c r="L104" i="10"/>
  <c r="I104" i="10"/>
  <c r="H104" i="10"/>
  <c r="G104" i="10"/>
  <c r="B104" i="10"/>
  <c r="N103" i="10"/>
  <c r="M103" i="10"/>
  <c r="L103" i="10"/>
  <c r="I103" i="10"/>
  <c r="H103" i="10"/>
  <c r="G103" i="10"/>
  <c r="B103" i="10"/>
  <c r="N102" i="10"/>
  <c r="M102" i="10"/>
  <c r="L102" i="10"/>
  <c r="I102" i="10"/>
  <c r="H102" i="10"/>
  <c r="G102" i="10"/>
  <c r="B102" i="10"/>
  <c r="N101" i="10"/>
  <c r="M101" i="10"/>
  <c r="L101" i="10"/>
  <c r="I101" i="10"/>
  <c r="H101" i="10"/>
  <c r="G101" i="10"/>
  <c r="B101" i="10"/>
  <c r="N100" i="10"/>
  <c r="M100" i="10"/>
  <c r="L100" i="10"/>
  <c r="I100" i="10"/>
  <c r="H100" i="10"/>
  <c r="G100" i="10"/>
  <c r="B100" i="10"/>
  <c r="N99" i="10"/>
  <c r="M99" i="10"/>
  <c r="L99" i="10"/>
  <c r="I99" i="10"/>
  <c r="H99" i="10"/>
  <c r="G99" i="10"/>
  <c r="B99" i="10"/>
  <c r="N98" i="10"/>
  <c r="M98" i="10"/>
  <c r="L98" i="10"/>
  <c r="I98" i="10"/>
  <c r="H98" i="10"/>
  <c r="G98" i="10"/>
  <c r="B98" i="10"/>
  <c r="N97" i="10"/>
  <c r="M97" i="10"/>
  <c r="L97" i="10"/>
  <c r="I97" i="10"/>
  <c r="H97" i="10"/>
  <c r="G97" i="10"/>
  <c r="B97" i="10"/>
  <c r="N96" i="10"/>
  <c r="M96" i="10"/>
  <c r="L96" i="10"/>
  <c r="I96" i="10"/>
  <c r="H96" i="10"/>
  <c r="G96" i="10"/>
  <c r="B96" i="10"/>
  <c r="N95" i="10"/>
  <c r="M95" i="10"/>
  <c r="L95" i="10"/>
  <c r="I95" i="10"/>
  <c r="H95" i="10"/>
  <c r="G95" i="10"/>
  <c r="B95" i="10"/>
  <c r="N94" i="10"/>
  <c r="M94" i="10"/>
  <c r="L94" i="10"/>
  <c r="I94" i="10"/>
  <c r="H94" i="10"/>
  <c r="G94" i="10"/>
  <c r="B94" i="10"/>
  <c r="N93" i="10"/>
  <c r="M93" i="10"/>
  <c r="L93" i="10"/>
  <c r="I93" i="10"/>
  <c r="H93" i="10"/>
  <c r="G93" i="10"/>
  <c r="B93" i="10"/>
  <c r="N92" i="10"/>
  <c r="M92" i="10"/>
  <c r="L92" i="10"/>
  <c r="I92" i="10"/>
  <c r="H92" i="10"/>
  <c r="G92" i="10"/>
  <c r="B92" i="10"/>
  <c r="N91" i="10"/>
  <c r="M91" i="10"/>
  <c r="L91" i="10"/>
  <c r="I91" i="10"/>
  <c r="H91" i="10"/>
  <c r="G91" i="10"/>
  <c r="B91" i="10"/>
  <c r="N90" i="10"/>
  <c r="M90" i="10"/>
  <c r="L90" i="10"/>
  <c r="I90" i="10"/>
  <c r="H90" i="10"/>
  <c r="G90" i="10"/>
  <c r="B90" i="10"/>
  <c r="N89" i="10"/>
  <c r="M89" i="10"/>
  <c r="L89" i="10"/>
  <c r="I89" i="10"/>
  <c r="H89" i="10"/>
  <c r="G89" i="10"/>
  <c r="B89" i="10"/>
  <c r="N88" i="10"/>
  <c r="M88" i="10"/>
  <c r="L88" i="10"/>
  <c r="I88" i="10"/>
  <c r="H88" i="10"/>
  <c r="G88" i="10"/>
  <c r="B88" i="10"/>
  <c r="N87" i="10"/>
  <c r="M87" i="10"/>
  <c r="L87" i="10"/>
  <c r="I87" i="10"/>
  <c r="H87" i="10"/>
  <c r="G87" i="10"/>
  <c r="B87" i="10"/>
  <c r="N86" i="10"/>
  <c r="M86" i="10"/>
  <c r="L86" i="10"/>
  <c r="I86" i="10"/>
  <c r="H86" i="10"/>
  <c r="G86" i="10"/>
  <c r="B86" i="10"/>
  <c r="N85" i="10"/>
  <c r="M85" i="10"/>
  <c r="L85" i="10"/>
  <c r="I85" i="10"/>
  <c r="H85" i="10"/>
  <c r="G85" i="10"/>
  <c r="B85" i="10"/>
  <c r="N84" i="10"/>
  <c r="M84" i="10"/>
  <c r="L84" i="10"/>
  <c r="I84" i="10"/>
  <c r="H84" i="10"/>
  <c r="G84" i="10"/>
  <c r="B84" i="10"/>
  <c r="N83" i="10"/>
  <c r="M83" i="10"/>
  <c r="L83" i="10"/>
  <c r="I83" i="10"/>
  <c r="H83" i="10"/>
  <c r="G83" i="10"/>
  <c r="B83" i="10"/>
  <c r="N82" i="10"/>
  <c r="M82" i="10"/>
  <c r="L82" i="10"/>
  <c r="I82" i="10"/>
  <c r="H82" i="10"/>
  <c r="G82" i="10"/>
  <c r="B82" i="10"/>
  <c r="N81" i="10"/>
  <c r="M81" i="10"/>
  <c r="L81" i="10"/>
  <c r="I81" i="10"/>
  <c r="H81" i="10"/>
  <c r="G81" i="10"/>
  <c r="B81" i="10"/>
  <c r="N80" i="10"/>
  <c r="M80" i="10"/>
  <c r="L80" i="10"/>
  <c r="I80" i="10"/>
  <c r="H80" i="10"/>
  <c r="G80" i="10"/>
  <c r="B80" i="10"/>
  <c r="N79" i="10"/>
  <c r="M79" i="10"/>
  <c r="L79" i="10"/>
  <c r="I79" i="10"/>
  <c r="H79" i="10"/>
  <c r="G79" i="10"/>
  <c r="B79" i="10"/>
  <c r="N78" i="10"/>
  <c r="M78" i="10"/>
  <c r="L78" i="10"/>
  <c r="I78" i="10"/>
  <c r="H78" i="10"/>
  <c r="G78" i="10"/>
  <c r="B78" i="10"/>
  <c r="N77" i="10"/>
  <c r="M77" i="10"/>
  <c r="L77" i="10"/>
  <c r="I77" i="10"/>
  <c r="H77" i="10"/>
  <c r="G77" i="10"/>
  <c r="B77" i="10"/>
  <c r="N76" i="10"/>
  <c r="M76" i="10"/>
  <c r="L76" i="10"/>
  <c r="I76" i="10"/>
  <c r="H76" i="10"/>
  <c r="G76" i="10"/>
  <c r="B76" i="10"/>
  <c r="N75" i="10"/>
  <c r="M75" i="10"/>
  <c r="L75" i="10"/>
  <c r="I75" i="10"/>
  <c r="H75" i="10"/>
  <c r="G75" i="10"/>
  <c r="B75" i="10"/>
  <c r="N74" i="10"/>
  <c r="M74" i="10"/>
  <c r="L74" i="10"/>
  <c r="I74" i="10"/>
  <c r="H74" i="10"/>
  <c r="G74" i="10"/>
  <c r="B74" i="10"/>
  <c r="N73" i="10"/>
  <c r="M73" i="10"/>
  <c r="L73" i="10"/>
  <c r="I73" i="10"/>
  <c r="H73" i="10"/>
  <c r="G73" i="10"/>
  <c r="B73" i="10"/>
  <c r="N72" i="10"/>
  <c r="M72" i="10"/>
  <c r="L72" i="10"/>
  <c r="I72" i="10"/>
  <c r="H72" i="10"/>
  <c r="G72" i="10"/>
  <c r="B72" i="10"/>
  <c r="N71" i="10"/>
  <c r="M71" i="10"/>
  <c r="L71" i="10"/>
  <c r="I71" i="10"/>
  <c r="H71" i="10"/>
  <c r="G71" i="10"/>
  <c r="B71" i="10"/>
  <c r="N70" i="10"/>
  <c r="M70" i="10"/>
  <c r="L70" i="10"/>
  <c r="I70" i="10"/>
  <c r="H70" i="10"/>
  <c r="G70" i="10"/>
  <c r="B70" i="10"/>
  <c r="N69" i="10"/>
  <c r="M69" i="10"/>
  <c r="L69" i="10"/>
  <c r="I69" i="10"/>
  <c r="H69" i="10"/>
  <c r="G69" i="10"/>
  <c r="B69" i="10"/>
  <c r="N68" i="10"/>
  <c r="M68" i="10"/>
  <c r="L68" i="10"/>
  <c r="I68" i="10"/>
  <c r="H68" i="10"/>
  <c r="G68" i="10"/>
  <c r="B68" i="10"/>
  <c r="N67" i="10"/>
  <c r="M67" i="10"/>
  <c r="L67" i="10"/>
  <c r="I67" i="10"/>
  <c r="H67" i="10"/>
  <c r="G67" i="10"/>
  <c r="B67" i="10"/>
  <c r="N66" i="10"/>
  <c r="M66" i="10"/>
  <c r="L66" i="10"/>
  <c r="I66" i="10"/>
  <c r="H66" i="10"/>
  <c r="G66" i="10"/>
  <c r="B66" i="10"/>
  <c r="N65" i="10"/>
  <c r="M65" i="10"/>
  <c r="L65" i="10"/>
  <c r="I65" i="10"/>
  <c r="H65" i="10"/>
  <c r="G65" i="10"/>
  <c r="B65" i="10"/>
  <c r="N64" i="10"/>
  <c r="M64" i="10"/>
  <c r="L64" i="10"/>
  <c r="I64" i="10"/>
  <c r="H64" i="10"/>
  <c r="G64" i="10"/>
  <c r="B64" i="10"/>
  <c r="N63" i="10"/>
  <c r="M63" i="10"/>
  <c r="L63" i="10"/>
  <c r="I63" i="10"/>
  <c r="H63" i="10"/>
  <c r="G63" i="10"/>
  <c r="B63" i="10"/>
  <c r="N62" i="10"/>
  <c r="M62" i="10"/>
  <c r="L62" i="10"/>
  <c r="I62" i="10"/>
  <c r="H62" i="10"/>
  <c r="G62" i="10"/>
  <c r="B62" i="10"/>
  <c r="N61" i="10"/>
  <c r="M61" i="10"/>
  <c r="L61" i="10"/>
  <c r="I61" i="10"/>
  <c r="H61" i="10"/>
  <c r="G61" i="10"/>
  <c r="B61" i="10"/>
  <c r="N60" i="10"/>
  <c r="M60" i="10"/>
  <c r="L60" i="10"/>
  <c r="I60" i="10"/>
  <c r="H60" i="10"/>
  <c r="G60" i="10"/>
  <c r="B60" i="10"/>
  <c r="N59" i="10"/>
  <c r="M59" i="10"/>
  <c r="L59" i="10"/>
  <c r="I59" i="10"/>
  <c r="H59" i="10"/>
  <c r="G59" i="10"/>
  <c r="B59" i="10"/>
  <c r="N58" i="10"/>
  <c r="M58" i="10"/>
  <c r="L58" i="10"/>
  <c r="I58" i="10"/>
  <c r="H58" i="10"/>
  <c r="G58" i="10"/>
  <c r="B58" i="10"/>
  <c r="N57" i="10"/>
  <c r="M57" i="10"/>
  <c r="L57" i="10"/>
  <c r="I57" i="10"/>
  <c r="H57" i="10"/>
  <c r="G57" i="10"/>
  <c r="B57" i="10"/>
  <c r="N56" i="10"/>
  <c r="M56" i="10"/>
  <c r="L56" i="10"/>
  <c r="I56" i="10"/>
  <c r="H56" i="10"/>
  <c r="G56" i="10"/>
  <c r="B56" i="10"/>
  <c r="N55" i="10"/>
  <c r="M55" i="10"/>
  <c r="L55" i="10"/>
  <c r="I55" i="10"/>
  <c r="H55" i="10"/>
  <c r="G55" i="10"/>
  <c r="B55" i="10"/>
  <c r="N54" i="10"/>
  <c r="M54" i="10"/>
  <c r="L54" i="10"/>
  <c r="I54" i="10"/>
  <c r="H54" i="10"/>
  <c r="G54" i="10"/>
  <c r="B54" i="10"/>
  <c r="N53" i="10"/>
  <c r="M53" i="10"/>
  <c r="L53" i="10"/>
  <c r="I53" i="10"/>
  <c r="H53" i="10"/>
  <c r="G53" i="10"/>
  <c r="B53" i="10"/>
  <c r="N52" i="10"/>
  <c r="M52" i="10"/>
  <c r="L52" i="10"/>
  <c r="I52" i="10"/>
  <c r="H52" i="10"/>
  <c r="G52" i="10"/>
  <c r="B52" i="10"/>
  <c r="N51" i="10"/>
  <c r="M51" i="10"/>
  <c r="L51" i="10"/>
  <c r="I51" i="10"/>
  <c r="H51" i="10"/>
  <c r="G51" i="10"/>
  <c r="B51" i="10"/>
  <c r="N50" i="10"/>
  <c r="M50" i="10"/>
  <c r="L50" i="10"/>
  <c r="I50" i="10"/>
  <c r="H50" i="10"/>
  <c r="G50" i="10"/>
  <c r="B50" i="10"/>
  <c r="N49" i="10"/>
  <c r="M49" i="10"/>
  <c r="L49" i="10"/>
  <c r="I49" i="10"/>
  <c r="H49" i="10"/>
  <c r="G49" i="10"/>
  <c r="B49" i="10"/>
  <c r="N48" i="10"/>
  <c r="M48" i="10"/>
  <c r="L48" i="10"/>
  <c r="I48" i="10"/>
  <c r="H48" i="10"/>
  <c r="G48" i="10"/>
  <c r="B48" i="10"/>
  <c r="N47" i="10"/>
  <c r="M47" i="10"/>
  <c r="L47" i="10"/>
  <c r="I47" i="10"/>
  <c r="H47" i="10"/>
  <c r="G47" i="10"/>
  <c r="B47" i="10"/>
  <c r="N46" i="10"/>
  <c r="M46" i="10"/>
  <c r="L46" i="10"/>
  <c r="I46" i="10"/>
  <c r="H46" i="10"/>
  <c r="G46" i="10"/>
  <c r="B46" i="10"/>
  <c r="N45" i="10"/>
  <c r="M45" i="10"/>
  <c r="L45" i="10"/>
  <c r="I45" i="10"/>
  <c r="H45" i="10"/>
  <c r="G45" i="10"/>
  <c r="B45" i="10"/>
  <c r="N44" i="10"/>
  <c r="M44" i="10"/>
  <c r="L44" i="10"/>
  <c r="I44" i="10"/>
  <c r="H44" i="10"/>
  <c r="G44" i="10"/>
  <c r="B44" i="10"/>
  <c r="N43" i="10"/>
  <c r="M43" i="10"/>
  <c r="L43" i="10"/>
  <c r="I43" i="10"/>
  <c r="H43" i="10"/>
  <c r="G43" i="10"/>
  <c r="B43" i="10"/>
  <c r="N42" i="10"/>
  <c r="M42" i="10"/>
  <c r="L42" i="10"/>
  <c r="I42" i="10"/>
  <c r="H42" i="10"/>
  <c r="G42" i="10"/>
  <c r="B42" i="10"/>
  <c r="N41" i="10"/>
  <c r="M41" i="10"/>
  <c r="L41" i="10"/>
  <c r="I41" i="10"/>
  <c r="H41" i="10"/>
  <c r="G41" i="10"/>
  <c r="B41" i="10"/>
  <c r="N40" i="10"/>
  <c r="M40" i="10"/>
  <c r="L40" i="10"/>
  <c r="I40" i="10"/>
  <c r="H40" i="10"/>
  <c r="G40" i="10"/>
  <c r="B40" i="10"/>
  <c r="N39" i="10"/>
  <c r="M39" i="10"/>
  <c r="L39" i="10"/>
  <c r="I39" i="10"/>
  <c r="H39" i="10"/>
  <c r="G39" i="10"/>
  <c r="B39" i="10"/>
  <c r="N38" i="10"/>
  <c r="M38" i="10"/>
  <c r="L38" i="10"/>
  <c r="I38" i="10"/>
  <c r="H38" i="10"/>
  <c r="G38" i="10"/>
  <c r="B38" i="10"/>
  <c r="N37" i="10"/>
  <c r="M37" i="10"/>
  <c r="L37" i="10"/>
  <c r="I37" i="10"/>
  <c r="H37" i="10"/>
  <c r="G37" i="10"/>
  <c r="B37" i="10"/>
  <c r="N36" i="10"/>
  <c r="M36" i="10"/>
  <c r="L36" i="10"/>
  <c r="I36" i="10"/>
  <c r="H36" i="10"/>
  <c r="G36" i="10"/>
  <c r="B36" i="10"/>
  <c r="N35" i="10"/>
  <c r="M35" i="10"/>
  <c r="L35" i="10"/>
  <c r="I35" i="10"/>
  <c r="H35" i="10"/>
  <c r="G35" i="10"/>
  <c r="B35" i="10"/>
  <c r="N34" i="10"/>
  <c r="M34" i="10"/>
  <c r="L34" i="10"/>
  <c r="I34" i="10"/>
  <c r="H34" i="10"/>
  <c r="G34" i="10"/>
  <c r="B34" i="10"/>
  <c r="N33" i="10"/>
  <c r="M33" i="10"/>
  <c r="L33" i="10"/>
  <c r="I33" i="10"/>
  <c r="H33" i="10"/>
  <c r="G33" i="10"/>
  <c r="B33" i="10"/>
  <c r="N32" i="10"/>
  <c r="M32" i="10"/>
  <c r="L32" i="10"/>
  <c r="I32" i="10"/>
  <c r="H32" i="10"/>
  <c r="G32" i="10"/>
  <c r="B32" i="10"/>
  <c r="N31" i="10"/>
  <c r="M31" i="10"/>
  <c r="L31" i="10"/>
  <c r="I31" i="10"/>
  <c r="H31" i="10"/>
  <c r="G31" i="10"/>
  <c r="B31" i="10"/>
  <c r="N30" i="10"/>
  <c r="M30" i="10"/>
  <c r="L30" i="10"/>
  <c r="I30" i="10"/>
  <c r="H30" i="10"/>
  <c r="G30" i="10"/>
  <c r="B30" i="10"/>
  <c r="N29" i="10"/>
  <c r="M29" i="10"/>
  <c r="L29" i="10"/>
  <c r="I29" i="10"/>
  <c r="H29" i="10"/>
  <c r="G29" i="10"/>
  <c r="B29" i="10"/>
  <c r="N28" i="10"/>
  <c r="M28" i="10"/>
  <c r="L28" i="10"/>
  <c r="I28" i="10"/>
  <c r="H28" i="10"/>
  <c r="G28" i="10"/>
  <c r="B28" i="10"/>
  <c r="N27" i="10"/>
  <c r="M27" i="10"/>
  <c r="L27" i="10"/>
  <c r="I27" i="10"/>
  <c r="H27" i="10"/>
  <c r="G27" i="10"/>
  <c r="B27" i="10"/>
  <c r="N26" i="10"/>
  <c r="M26" i="10"/>
  <c r="L26" i="10"/>
  <c r="I26" i="10"/>
  <c r="H26" i="10"/>
  <c r="G26" i="10"/>
  <c r="B26" i="10"/>
  <c r="N25" i="10"/>
  <c r="M25" i="10"/>
  <c r="L25" i="10"/>
  <c r="I25" i="10"/>
  <c r="H25" i="10"/>
  <c r="G25" i="10"/>
  <c r="B25" i="10"/>
  <c r="N24" i="10"/>
  <c r="M24" i="10"/>
  <c r="L24" i="10"/>
  <c r="I24" i="10"/>
  <c r="H24" i="10"/>
  <c r="G24" i="10"/>
  <c r="B24" i="10"/>
  <c r="N23" i="10"/>
  <c r="M23" i="10"/>
  <c r="L23" i="10"/>
  <c r="I23" i="10"/>
  <c r="H23" i="10"/>
  <c r="G23" i="10"/>
  <c r="B23" i="10"/>
  <c r="N22" i="10"/>
  <c r="M22" i="10"/>
  <c r="L22" i="10"/>
  <c r="I22" i="10"/>
  <c r="H22" i="10"/>
  <c r="G22" i="10"/>
  <c r="B22" i="10"/>
  <c r="N21" i="10"/>
  <c r="M21" i="10"/>
  <c r="L21" i="10"/>
  <c r="I21" i="10"/>
  <c r="H21" i="10"/>
  <c r="G21" i="10"/>
  <c r="B21" i="10"/>
  <c r="N20" i="10"/>
  <c r="M20" i="10"/>
  <c r="L20" i="10"/>
  <c r="I20" i="10"/>
  <c r="H20" i="10"/>
  <c r="G20" i="10"/>
  <c r="B20" i="10"/>
  <c r="N19" i="10"/>
  <c r="M19" i="10"/>
  <c r="L19" i="10"/>
  <c r="I19" i="10"/>
  <c r="H19" i="10"/>
  <c r="G19" i="10"/>
  <c r="B19" i="10"/>
  <c r="N18" i="10"/>
  <c r="M18" i="10"/>
  <c r="L18" i="10"/>
  <c r="I18" i="10"/>
  <c r="H18" i="10"/>
  <c r="G18" i="10"/>
  <c r="B18" i="10"/>
  <c r="N17" i="10"/>
  <c r="M17" i="10"/>
  <c r="L17" i="10"/>
  <c r="I17" i="10"/>
  <c r="H17" i="10"/>
  <c r="G17" i="10"/>
  <c r="B17" i="10"/>
  <c r="N16" i="10"/>
  <c r="M16" i="10"/>
  <c r="L16" i="10"/>
  <c r="I16" i="10"/>
  <c r="H16" i="10"/>
  <c r="G16" i="10"/>
  <c r="B16" i="10"/>
  <c r="N15" i="10"/>
  <c r="M15" i="10"/>
  <c r="L15" i="10"/>
  <c r="I15" i="10"/>
  <c r="H15" i="10"/>
  <c r="G15" i="10"/>
  <c r="B15" i="10"/>
  <c r="N14" i="10"/>
  <c r="M14" i="10"/>
  <c r="L14" i="10"/>
  <c r="I14" i="10"/>
  <c r="H14" i="10"/>
  <c r="G14" i="10"/>
  <c r="B14" i="10"/>
  <c r="N13" i="10"/>
  <c r="M13" i="10"/>
  <c r="L13" i="10"/>
  <c r="I13" i="10"/>
  <c r="H13" i="10"/>
  <c r="G13" i="10"/>
  <c r="B13" i="10"/>
  <c r="N12" i="10"/>
  <c r="M12" i="10"/>
  <c r="L12" i="10"/>
  <c r="I12" i="10"/>
  <c r="H12" i="10"/>
  <c r="G12" i="10"/>
  <c r="B12" i="10"/>
  <c r="N11" i="10"/>
  <c r="M11" i="10"/>
  <c r="L11" i="10"/>
  <c r="I11" i="10"/>
  <c r="H11" i="10"/>
  <c r="G11" i="10"/>
  <c r="B11" i="10"/>
  <c r="N10" i="10"/>
  <c r="M10" i="10"/>
  <c r="L10" i="10"/>
  <c r="I10" i="10"/>
  <c r="H10" i="10"/>
  <c r="G10" i="10"/>
  <c r="B10" i="10"/>
  <c r="N9" i="10"/>
  <c r="M9" i="10"/>
  <c r="L9" i="10"/>
  <c r="I9" i="10"/>
  <c r="H9" i="10"/>
  <c r="G9" i="10"/>
  <c r="B9" i="10"/>
  <c r="N8" i="10"/>
  <c r="M8" i="10"/>
  <c r="L8" i="10"/>
  <c r="I8" i="10"/>
  <c r="H8" i="10"/>
  <c r="G8" i="10"/>
  <c r="B8" i="10"/>
  <c r="N7" i="10"/>
  <c r="M7" i="10"/>
  <c r="L7" i="10"/>
  <c r="I7" i="10"/>
  <c r="H7" i="10"/>
  <c r="G7" i="10"/>
  <c r="B7" i="10"/>
  <c r="N6" i="10"/>
  <c r="M6" i="10"/>
  <c r="L6" i="10"/>
  <c r="I6" i="10"/>
  <c r="H6" i="10"/>
  <c r="G6" i="10"/>
  <c r="B6" i="10"/>
  <c r="B5" i="10"/>
  <c r="I184" i="9"/>
  <c r="I183" i="9"/>
  <c r="H183" i="9"/>
  <c r="G183" i="9"/>
  <c r="I180" i="9"/>
  <c r="H180" i="9"/>
  <c r="G180" i="9"/>
  <c r="F180" i="9"/>
  <c r="E180" i="9"/>
  <c r="D180" i="9"/>
  <c r="I179" i="9"/>
  <c r="H179" i="9"/>
  <c r="G179" i="9"/>
  <c r="F179" i="9"/>
  <c r="E179" i="9"/>
  <c r="D179" i="9"/>
  <c r="I178" i="9"/>
  <c r="H178" i="9"/>
  <c r="G178" i="9"/>
  <c r="F178" i="9"/>
  <c r="E178" i="9"/>
  <c r="D178" i="9"/>
  <c r="I177" i="9"/>
  <c r="H177" i="9"/>
  <c r="G177" i="9"/>
  <c r="F177" i="9"/>
  <c r="E177" i="9"/>
  <c r="D177" i="9"/>
  <c r="I176" i="9"/>
  <c r="H176" i="9"/>
  <c r="G176" i="9"/>
  <c r="F176" i="9"/>
  <c r="E176" i="9"/>
  <c r="D176" i="9"/>
  <c r="I175" i="9"/>
  <c r="H175" i="9"/>
  <c r="G175" i="9"/>
  <c r="F175" i="9"/>
  <c r="E175" i="9"/>
  <c r="D175" i="9"/>
  <c r="I174" i="9"/>
  <c r="H174" i="9"/>
  <c r="G174" i="9"/>
  <c r="F174" i="9"/>
  <c r="E174" i="9"/>
  <c r="D174" i="9"/>
  <c r="I173" i="9"/>
  <c r="H173" i="9"/>
  <c r="G173" i="9"/>
  <c r="F173" i="9"/>
  <c r="E173" i="9"/>
  <c r="D173" i="9"/>
  <c r="I172" i="9"/>
  <c r="H172" i="9"/>
  <c r="G172" i="9"/>
  <c r="F172" i="9"/>
  <c r="E172" i="9"/>
  <c r="D172" i="9"/>
  <c r="I171" i="9"/>
  <c r="H171" i="9"/>
  <c r="G171" i="9"/>
  <c r="F171" i="9"/>
  <c r="E171" i="9"/>
  <c r="D171" i="9"/>
  <c r="I170" i="9"/>
  <c r="H170" i="9"/>
  <c r="G170" i="9"/>
  <c r="F170" i="9"/>
  <c r="E170" i="9"/>
  <c r="D170" i="9"/>
  <c r="I169" i="9"/>
  <c r="H169" i="9"/>
  <c r="G169" i="9"/>
  <c r="F169" i="9"/>
  <c r="E169" i="9"/>
  <c r="D169" i="9"/>
  <c r="I168" i="9"/>
  <c r="H168" i="9"/>
  <c r="G168" i="9"/>
  <c r="F168" i="9"/>
  <c r="E168" i="9"/>
  <c r="D168" i="9"/>
  <c r="I167" i="9"/>
  <c r="H167" i="9"/>
  <c r="G167" i="9"/>
  <c r="F167" i="9"/>
  <c r="E167" i="9"/>
  <c r="D167" i="9"/>
  <c r="I166" i="9"/>
  <c r="H166" i="9"/>
  <c r="G166" i="9"/>
  <c r="F166" i="9"/>
  <c r="E166" i="9"/>
  <c r="D166" i="9"/>
  <c r="I165" i="9"/>
  <c r="H165" i="9"/>
  <c r="G165" i="9"/>
  <c r="F165" i="9"/>
  <c r="E165" i="9"/>
  <c r="D165" i="9"/>
  <c r="I164" i="9"/>
  <c r="H164" i="9"/>
  <c r="G164" i="9"/>
  <c r="F164" i="9"/>
  <c r="E164" i="9"/>
  <c r="D164" i="9"/>
  <c r="I163" i="9"/>
  <c r="H163" i="9"/>
  <c r="G163" i="9"/>
  <c r="F163" i="9"/>
  <c r="E163" i="9"/>
  <c r="D163" i="9"/>
  <c r="I162" i="9"/>
  <c r="H162" i="9"/>
  <c r="G162" i="9"/>
  <c r="F162" i="9"/>
  <c r="E162" i="9"/>
  <c r="D162" i="9"/>
  <c r="I161" i="9"/>
  <c r="H161" i="9"/>
  <c r="G161" i="9"/>
  <c r="F161" i="9"/>
  <c r="E161" i="9"/>
  <c r="D161" i="9"/>
  <c r="I160" i="9"/>
  <c r="H160" i="9"/>
  <c r="G160" i="9"/>
  <c r="F160" i="9"/>
  <c r="E160" i="9"/>
  <c r="D160" i="9"/>
  <c r="I159" i="9"/>
  <c r="H159" i="9"/>
  <c r="G159" i="9"/>
  <c r="F159" i="9"/>
  <c r="E159" i="9"/>
  <c r="D159" i="9"/>
  <c r="I158" i="9"/>
  <c r="H158" i="9"/>
  <c r="G158" i="9"/>
  <c r="F158" i="9"/>
  <c r="E158" i="9"/>
  <c r="D158" i="9"/>
  <c r="I157" i="9"/>
  <c r="H157" i="9"/>
  <c r="G157" i="9"/>
  <c r="F157" i="9"/>
  <c r="E157" i="9"/>
  <c r="D157" i="9"/>
  <c r="I156" i="9"/>
  <c r="H156" i="9"/>
  <c r="G156" i="9"/>
  <c r="F156" i="9"/>
  <c r="E156" i="9"/>
  <c r="D156" i="9"/>
  <c r="I155" i="9"/>
  <c r="H155" i="9"/>
  <c r="G155" i="9"/>
  <c r="F155" i="9"/>
  <c r="E155" i="9"/>
  <c r="D155" i="9"/>
  <c r="I154" i="9"/>
  <c r="H154" i="9"/>
  <c r="G154" i="9"/>
  <c r="F154" i="9"/>
  <c r="E154" i="9"/>
  <c r="D154" i="9"/>
  <c r="I153" i="9"/>
  <c r="H153" i="9"/>
  <c r="G153" i="9"/>
  <c r="F153" i="9"/>
  <c r="E153" i="9"/>
  <c r="D153" i="9"/>
  <c r="I152" i="9"/>
  <c r="H152" i="9"/>
  <c r="G152" i="9"/>
  <c r="F152" i="9"/>
  <c r="E152" i="9"/>
  <c r="D152" i="9"/>
  <c r="I151" i="9"/>
  <c r="H151" i="9"/>
  <c r="G151" i="9"/>
  <c r="F151" i="9"/>
  <c r="E151" i="9"/>
  <c r="D151" i="9"/>
  <c r="I150" i="9"/>
  <c r="H150" i="9"/>
  <c r="G150" i="9"/>
  <c r="F150" i="9"/>
  <c r="E150" i="9"/>
  <c r="D150" i="9"/>
  <c r="I149" i="9"/>
  <c r="H149" i="9"/>
  <c r="G149" i="9"/>
  <c r="F149" i="9"/>
  <c r="E149" i="9"/>
  <c r="D149" i="9"/>
  <c r="I148" i="9"/>
  <c r="H148" i="9"/>
  <c r="G148" i="9"/>
  <c r="F148" i="9"/>
  <c r="E148" i="9"/>
  <c r="D148" i="9"/>
  <c r="I147" i="9"/>
  <c r="H147" i="9"/>
  <c r="G147" i="9"/>
  <c r="F147" i="9"/>
  <c r="E147" i="9"/>
  <c r="D147" i="9"/>
  <c r="I146" i="9"/>
  <c r="H146" i="9"/>
  <c r="G146" i="9"/>
  <c r="F146" i="9"/>
  <c r="E146" i="9"/>
  <c r="D146" i="9"/>
  <c r="I145" i="9"/>
  <c r="H145" i="9"/>
  <c r="G145" i="9"/>
  <c r="F145" i="9"/>
  <c r="E145" i="9"/>
  <c r="D145" i="9"/>
  <c r="I144" i="9"/>
  <c r="H144" i="9"/>
  <c r="G144" i="9"/>
  <c r="F144" i="9"/>
  <c r="E144" i="9"/>
  <c r="D144" i="9"/>
  <c r="I143" i="9"/>
  <c r="H143" i="9"/>
  <c r="G143" i="9"/>
  <c r="F143" i="9"/>
  <c r="E143" i="9"/>
  <c r="D143" i="9"/>
  <c r="I142" i="9"/>
  <c r="H142" i="9"/>
  <c r="G142" i="9"/>
  <c r="F142" i="9"/>
  <c r="E142" i="9"/>
  <c r="D142" i="9"/>
  <c r="I141" i="9"/>
  <c r="H141" i="9"/>
  <c r="G141" i="9"/>
  <c r="F141" i="9"/>
  <c r="E141" i="9"/>
  <c r="D141" i="9"/>
  <c r="I140" i="9"/>
  <c r="H140" i="9"/>
  <c r="G140" i="9"/>
  <c r="F140" i="9"/>
  <c r="E140" i="9"/>
  <c r="D140" i="9"/>
  <c r="I139" i="9"/>
  <c r="H139" i="9"/>
  <c r="G139" i="9"/>
  <c r="F139" i="9"/>
  <c r="E139" i="9"/>
  <c r="D139" i="9"/>
  <c r="I138" i="9"/>
  <c r="H138" i="9"/>
  <c r="G138" i="9"/>
  <c r="F138" i="9"/>
  <c r="E138" i="9"/>
  <c r="D138" i="9"/>
  <c r="I137" i="9"/>
  <c r="H137" i="9"/>
  <c r="G137" i="9"/>
  <c r="F137" i="9"/>
  <c r="E137" i="9"/>
  <c r="D137" i="9"/>
  <c r="I136" i="9"/>
  <c r="H136" i="9"/>
  <c r="G136" i="9"/>
  <c r="F136" i="9"/>
  <c r="E136" i="9"/>
  <c r="D136" i="9"/>
  <c r="I135" i="9"/>
  <c r="H135" i="9"/>
  <c r="G135" i="9"/>
  <c r="F135" i="9"/>
  <c r="E135" i="9"/>
  <c r="D135" i="9"/>
  <c r="I134" i="9"/>
  <c r="H134" i="9"/>
  <c r="G134" i="9"/>
  <c r="F134" i="9"/>
  <c r="E134" i="9"/>
  <c r="D134" i="9"/>
  <c r="I133" i="9"/>
  <c r="H133" i="9"/>
  <c r="G133" i="9"/>
  <c r="F133" i="9"/>
  <c r="E133" i="9"/>
  <c r="D133" i="9"/>
  <c r="I132" i="9"/>
  <c r="H132" i="9"/>
  <c r="G132" i="9"/>
  <c r="F132" i="9"/>
  <c r="E132" i="9"/>
  <c r="D132" i="9"/>
  <c r="I131" i="9"/>
  <c r="H131" i="9"/>
  <c r="G131" i="9"/>
  <c r="F131" i="9"/>
  <c r="E131" i="9"/>
  <c r="D131" i="9"/>
  <c r="I130" i="9"/>
  <c r="H130" i="9"/>
  <c r="G130" i="9"/>
  <c r="F130" i="9"/>
  <c r="E130" i="9"/>
  <c r="D130" i="9"/>
  <c r="I129" i="9"/>
  <c r="H129" i="9"/>
  <c r="G129" i="9"/>
  <c r="F129" i="9"/>
  <c r="E129" i="9"/>
  <c r="D129" i="9"/>
  <c r="I128" i="9"/>
  <c r="H128" i="9"/>
  <c r="G128" i="9"/>
  <c r="F128" i="9"/>
  <c r="E128" i="9"/>
  <c r="D128" i="9"/>
  <c r="I127" i="9"/>
  <c r="H127" i="9"/>
  <c r="G127" i="9"/>
  <c r="F127" i="9"/>
  <c r="E127" i="9"/>
  <c r="D127" i="9"/>
  <c r="I126" i="9"/>
  <c r="H126" i="9"/>
  <c r="G126" i="9"/>
  <c r="F126" i="9"/>
  <c r="E126" i="9"/>
  <c r="D126" i="9"/>
  <c r="I125" i="9"/>
  <c r="H125" i="9"/>
  <c r="G125" i="9"/>
  <c r="F125" i="9"/>
  <c r="E125" i="9"/>
  <c r="D125" i="9"/>
  <c r="I124" i="9"/>
  <c r="H124" i="9"/>
  <c r="G124" i="9"/>
  <c r="F124" i="9"/>
  <c r="E124" i="9"/>
  <c r="D124" i="9"/>
  <c r="I123" i="9"/>
  <c r="H123" i="9"/>
  <c r="G123" i="9"/>
  <c r="F123" i="9"/>
  <c r="E123" i="9"/>
  <c r="D123" i="9"/>
  <c r="I122" i="9"/>
  <c r="H122" i="9"/>
  <c r="G122" i="9"/>
  <c r="F122" i="9"/>
  <c r="E122" i="9"/>
  <c r="D122" i="9"/>
  <c r="I121" i="9"/>
  <c r="H121" i="9"/>
  <c r="G121" i="9"/>
  <c r="F121" i="9"/>
  <c r="E121" i="9"/>
  <c r="D121" i="9"/>
  <c r="I120" i="9"/>
  <c r="H120" i="9"/>
  <c r="G120" i="9"/>
  <c r="F120" i="9"/>
  <c r="E120" i="9"/>
  <c r="D120" i="9"/>
  <c r="I119" i="9"/>
  <c r="H119" i="9"/>
  <c r="G119" i="9"/>
  <c r="F119" i="9"/>
  <c r="E119" i="9"/>
  <c r="D119" i="9"/>
  <c r="I118" i="9"/>
  <c r="H118" i="9"/>
  <c r="G118" i="9"/>
  <c r="F118" i="9"/>
  <c r="E118" i="9"/>
  <c r="D118" i="9"/>
  <c r="I117" i="9"/>
  <c r="H117" i="9"/>
  <c r="G117" i="9"/>
  <c r="F117" i="9"/>
  <c r="E117" i="9"/>
  <c r="D117" i="9"/>
  <c r="I116" i="9"/>
  <c r="H116" i="9"/>
  <c r="G116" i="9"/>
  <c r="F116" i="9"/>
  <c r="E116" i="9"/>
  <c r="D116" i="9"/>
  <c r="I115" i="9"/>
  <c r="H115" i="9"/>
  <c r="G115" i="9"/>
  <c r="F115" i="9"/>
  <c r="E115" i="9"/>
  <c r="D115" i="9"/>
  <c r="I114" i="9"/>
  <c r="H114" i="9"/>
  <c r="G114" i="9"/>
  <c r="F114" i="9"/>
  <c r="E114" i="9"/>
  <c r="D114" i="9"/>
  <c r="I113" i="9"/>
  <c r="H113" i="9"/>
  <c r="G113" i="9"/>
  <c r="F113" i="9"/>
  <c r="E113" i="9"/>
  <c r="D113" i="9"/>
  <c r="I112" i="9"/>
  <c r="H112" i="9"/>
  <c r="G112" i="9"/>
  <c r="F112" i="9"/>
  <c r="E112" i="9"/>
  <c r="D112" i="9"/>
  <c r="I111" i="9"/>
  <c r="H111" i="9"/>
  <c r="G111" i="9"/>
  <c r="F111" i="9"/>
  <c r="E111" i="9"/>
  <c r="D111" i="9"/>
  <c r="I110" i="9"/>
  <c r="H110" i="9"/>
  <c r="G110" i="9"/>
  <c r="F110" i="9"/>
  <c r="E110" i="9"/>
  <c r="D110" i="9"/>
  <c r="I109" i="9"/>
  <c r="H109" i="9"/>
  <c r="G109" i="9"/>
  <c r="F109" i="9"/>
  <c r="E109" i="9"/>
  <c r="D109" i="9"/>
  <c r="I108" i="9"/>
  <c r="H108" i="9"/>
  <c r="G108" i="9"/>
  <c r="F108" i="9"/>
  <c r="E108" i="9"/>
  <c r="D108" i="9"/>
  <c r="I107" i="9"/>
  <c r="H107" i="9"/>
  <c r="G107" i="9"/>
  <c r="F107" i="9"/>
  <c r="E107" i="9"/>
  <c r="D107" i="9"/>
  <c r="I106" i="9"/>
  <c r="H106" i="9"/>
  <c r="G106" i="9"/>
  <c r="F106" i="9"/>
  <c r="E106" i="9"/>
  <c r="D106" i="9"/>
  <c r="I105" i="9"/>
  <c r="H105" i="9"/>
  <c r="G105" i="9"/>
  <c r="F105" i="9"/>
  <c r="E105" i="9"/>
  <c r="D105" i="9"/>
  <c r="I104" i="9"/>
  <c r="H104" i="9"/>
  <c r="G104" i="9"/>
  <c r="F104" i="9"/>
  <c r="E104" i="9"/>
  <c r="D104" i="9"/>
  <c r="I103" i="9"/>
  <c r="H103" i="9"/>
  <c r="G103" i="9"/>
  <c r="F103" i="9"/>
  <c r="E103" i="9"/>
  <c r="D103" i="9"/>
  <c r="I102" i="9"/>
  <c r="H102" i="9"/>
  <c r="G102" i="9"/>
  <c r="F102" i="9"/>
  <c r="E102" i="9"/>
  <c r="D102" i="9"/>
  <c r="I101" i="9"/>
  <c r="H101" i="9"/>
  <c r="G101" i="9"/>
  <c r="F101" i="9"/>
  <c r="E101" i="9"/>
  <c r="D101" i="9"/>
  <c r="I100" i="9"/>
  <c r="H100" i="9"/>
  <c r="G100" i="9"/>
  <c r="F100" i="9"/>
  <c r="E100" i="9"/>
  <c r="D100" i="9"/>
  <c r="I99" i="9"/>
  <c r="H99" i="9"/>
  <c r="G99" i="9"/>
  <c r="F99" i="9"/>
  <c r="E99" i="9"/>
  <c r="D99" i="9"/>
  <c r="I98" i="9"/>
  <c r="H98" i="9"/>
  <c r="G98" i="9"/>
  <c r="F98" i="9"/>
  <c r="E98" i="9"/>
  <c r="D98" i="9"/>
  <c r="I97" i="9"/>
  <c r="H97" i="9"/>
  <c r="G97" i="9"/>
  <c r="F97" i="9"/>
  <c r="E97" i="9"/>
  <c r="D97" i="9"/>
  <c r="I96" i="9"/>
  <c r="H96" i="9"/>
  <c r="G96" i="9"/>
  <c r="F96" i="9"/>
  <c r="E96" i="9"/>
  <c r="D96" i="9"/>
  <c r="I95" i="9"/>
  <c r="H95" i="9"/>
  <c r="G95" i="9"/>
  <c r="F95" i="9"/>
  <c r="E95" i="9"/>
  <c r="D95" i="9"/>
  <c r="I94" i="9"/>
  <c r="H94" i="9"/>
  <c r="G94" i="9"/>
  <c r="F94" i="9"/>
  <c r="E94" i="9"/>
  <c r="D94" i="9"/>
  <c r="I93" i="9"/>
  <c r="H93" i="9"/>
  <c r="G93" i="9"/>
  <c r="F93" i="9"/>
  <c r="E93" i="9"/>
  <c r="D93" i="9"/>
  <c r="I92" i="9"/>
  <c r="H92" i="9"/>
  <c r="G92" i="9"/>
  <c r="F92" i="9"/>
  <c r="E92" i="9"/>
  <c r="D92" i="9"/>
  <c r="I91" i="9"/>
  <c r="H91" i="9"/>
  <c r="G91" i="9"/>
  <c r="F91" i="9"/>
  <c r="E91" i="9"/>
  <c r="D91" i="9"/>
  <c r="I90" i="9"/>
  <c r="H90" i="9"/>
  <c r="G90" i="9"/>
  <c r="F90" i="9"/>
  <c r="E90" i="9"/>
  <c r="D90" i="9"/>
  <c r="I89" i="9"/>
  <c r="H89" i="9"/>
  <c r="G89" i="9"/>
  <c r="F89" i="9"/>
  <c r="E89" i="9"/>
  <c r="D89" i="9"/>
  <c r="I88" i="9"/>
  <c r="H88" i="9"/>
  <c r="G88" i="9"/>
  <c r="F88" i="9"/>
  <c r="E88" i="9"/>
  <c r="D88" i="9"/>
  <c r="I87" i="9"/>
  <c r="H87" i="9"/>
  <c r="G87" i="9"/>
  <c r="F87" i="9"/>
  <c r="E87" i="9"/>
  <c r="D87" i="9"/>
  <c r="I86" i="9"/>
  <c r="H86" i="9"/>
  <c r="G86" i="9"/>
  <c r="F86" i="9"/>
  <c r="E86" i="9"/>
  <c r="D86" i="9"/>
  <c r="I85" i="9"/>
  <c r="H85" i="9"/>
  <c r="G85" i="9"/>
  <c r="F85" i="9"/>
  <c r="E85" i="9"/>
  <c r="D85" i="9"/>
  <c r="I84" i="9"/>
  <c r="H84" i="9"/>
  <c r="G84" i="9"/>
  <c r="F84" i="9"/>
  <c r="E84" i="9"/>
  <c r="D84" i="9"/>
  <c r="I83" i="9"/>
  <c r="H83" i="9"/>
  <c r="G83" i="9"/>
  <c r="F83" i="9"/>
  <c r="E83" i="9"/>
  <c r="D83" i="9"/>
  <c r="I82" i="9"/>
  <c r="H82" i="9"/>
  <c r="G82" i="9"/>
  <c r="F82" i="9"/>
  <c r="E82" i="9"/>
  <c r="D82" i="9"/>
  <c r="I81" i="9"/>
  <c r="H81" i="9"/>
  <c r="G81" i="9"/>
  <c r="F81" i="9"/>
  <c r="E81" i="9"/>
  <c r="D81" i="9"/>
  <c r="I80" i="9"/>
  <c r="H80" i="9"/>
  <c r="G80" i="9"/>
  <c r="F80" i="9"/>
  <c r="E80" i="9"/>
  <c r="D80" i="9"/>
  <c r="I79" i="9"/>
  <c r="H79" i="9"/>
  <c r="G79" i="9"/>
  <c r="F79" i="9"/>
  <c r="E79" i="9"/>
  <c r="D79" i="9"/>
  <c r="I78" i="9"/>
  <c r="H78" i="9"/>
  <c r="G78" i="9"/>
  <c r="F78" i="9"/>
  <c r="E78" i="9"/>
  <c r="D78" i="9"/>
  <c r="I77" i="9"/>
  <c r="H77" i="9"/>
  <c r="G77" i="9"/>
  <c r="F77" i="9"/>
  <c r="E77" i="9"/>
  <c r="D77" i="9"/>
  <c r="I76" i="9"/>
  <c r="H76" i="9"/>
  <c r="G76" i="9"/>
  <c r="F76" i="9"/>
  <c r="E76" i="9"/>
  <c r="D76" i="9"/>
  <c r="I75" i="9"/>
  <c r="H75" i="9"/>
  <c r="G75" i="9"/>
  <c r="F75" i="9"/>
  <c r="E75" i="9"/>
  <c r="D75" i="9"/>
  <c r="I74" i="9"/>
  <c r="H74" i="9"/>
  <c r="G74" i="9"/>
  <c r="F74" i="9"/>
  <c r="E74" i="9"/>
  <c r="D74" i="9"/>
  <c r="I73" i="9"/>
  <c r="H73" i="9"/>
  <c r="G73" i="9"/>
  <c r="F73" i="9"/>
  <c r="E73" i="9"/>
  <c r="D73" i="9"/>
  <c r="I72" i="9"/>
  <c r="H72" i="9"/>
  <c r="G72" i="9"/>
  <c r="F72" i="9"/>
  <c r="E72" i="9"/>
  <c r="D72" i="9"/>
  <c r="I71" i="9"/>
  <c r="H71" i="9"/>
  <c r="G71" i="9"/>
  <c r="F71" i="9"/>
  <c r="E71" i="9"/>
  <c r="D71" i="9"/>
  <c r="I70" i="9"/>
  <c r="H70" i="9"/>
  <c r="G70" i="9"/>
  <c r="F70" i="9"/>
  <c r="E70" i="9"/>
  <c r="D70" i="9"/>
  <c r="I69" i="9"/>
  <c r="H69" i="9"/>
  <c r="G69" i="9"/>
  <c r="F69" i="9"/>
  <c r="E69" i="9"/>
  <c r="D69" i="9"/>
  <c r="I68" i="9"/>
  <c r="H68" i="9"/>
  <c r="G68" i="9"/>
  <c r="F68" i="9"/>
  <c r="E68" i="9"/>
  <c r="D68" i="9"/>
  <c r="I67" i="9"/>
  <c r="H67" i="9"/>
  <c r="G67" i="9"/>
  <c r="F67" i="9"/>
  <c r="E67" i="9"/>
  <c r="D67" i="9"/>
  <c r="I66" i="9"/>
  <c r="H66" i="9"/>
  <c r="G66" i="9"/>
  <c r="F66" i="9"/>
  <c r="E66" i="9"/>
  <c r="D66" i="9"/>
  <c r="I65" i="9"/>
  <c r="H65" i="9"/>
  <c r="G65" i="9"/>
  <c r="F65" i="9"/>
  <c r="E65" i="9"/>
  <c r="D65" i="9"/>
  <c r="I64" i="9"/>
  <c r="H64" i="9"/>
  <c r="G64" i="9"/>
  <c r="F64" i="9"/>
  <c r="E64" i="9"/>
  <c r="D64" i="9"/>
  <c r="I63" i="9"/>
  <c r="H63" i="9"/>
  <c r="G63" i="9"/>
  <c r="F63" i="9"/>
  <c r="E63" i="9"/>
  <c r="D63" i="9"/>
  <c r="I62" i="9"/>
  <c r="H62" i="9"/>
  <c r="G62" i="9"/>
  <c r="F62" i="9"/>
  <c r="E62" i="9"/>
  <c r="D62" i="9"/>
  <c r="I61" i="9"/>
  <c r="H61" i="9"/>
  <c r="G61" i="9"/>
  <c r="F61" i="9"/>
  <c r="E61" i="9"/>
  <c r="D61" i="9"/>
  <c r="I60" i="9"/>
  <c r="H60" i="9"/>
  <c r="G60" i="9"/>
  <c r="F60" i="9"/>
  <c r="E60" i="9"/>
  <c r="D60" i="9"/>
  <c r="I59" i="9"/>
  <c r="H59" i="9"/>
  <c r="G59" i="9"/>
  <c r="F59" i="9"/>
  <c r="E59" i="9"/>
  <c r="D59" i="9"/>
  <c r="I58" i="9"/>
  <c r="H58" i="9"/>
  <c r="G58" i="9"/>
  <c r="F58" i="9"/>
  <c r="E58" i="9"/>
  <c r="D58" i="9"/>
  <c r="I57" i="9"/>
  <c r="H57" i="9"/>
  <c r="G57" i="9"/>
  <c r="F57" i="9"/>
  <c r="E57" i="9"/>
  <c r="D57" i="9"/>
  <c r="I56" i="9"/>
  <c r="H56" i="9"/>
  <c r="G56" i="9"/>
  <c r="F56" i="9"/>
  <c r="E56" i="9"/>
  <c r="D56" i="9"/>
  <c r="I55" i="9"/>
  <c r="H55" i="9"/>
  <c r="G55" i="9"/>
  <c r="F55" i="9"/>
  <c r="E55" i="9"/>
  <c r="D55" i="9"/>
  <c r="I54" i="9"/>
  <c r="H54" i="9"/>
  <c r="G54" i="9"/>
  <c r="F54" i="9"/>
  <c r="E54" i="9"/>
  <c r="D54" i="9"/>
  <c r="I53" i="9"/>
  <c r="H53" i="9"/>
  <c r="G53" i="9"/>
  <c r="F53" i="9"/>
  <c r="E53" i="9"/>
  <c r="D53" i="9"/>
  <c r="I52" i="9"/>
  <c r="H52" i="9"/>
  <c r="G52" i="9"/>
  <c r="F52" i="9"/>
  <c r="E52" i="9"/>
  <c r="D52" i="9"/>
  <c r="I51" i="9"/>
  <c r="H51" i="9"/>
  <c r="G51" i="9"/>
  <c r="F51" i="9"/>
  <c r="E51" i="9"/>
  <c r="D51" i="9"/>
  <c r="I50" i="9"/>
  <c r="H50" i="9"/>
  <c r="G50" i="9"/>
  <c r="F50" i="9"/>
  <c r="E50" i="9"/>
  <c r="D50" i="9"/>
  <c r="I49" i="9"/>
  <c r="H49" i="9"/>
  <c r="G49" i="9"/>
  <c r="F49" i="9"/>
  <c r="E49" i="9"/>
  <c r="D49" i="9"/>
  <c r="I48" i="9"/>
  <c r="H48" i="9"/>
  <c r="G48" i="9"/>
  <c r="F48" i="9"/>
  <c r="E48" i="9"/>
  <c r="D48" i="9"/>
  <c r="I47" i="9"/>
  <c r="H47" i="9"/>
  <c r="G47" i="9"/>
  <c r="F47" i="9"/>
  <c r="E47" i="9"/>
  <c r="D47" i="9"/>
  <c r="I46" i="9"/>
  <c r="H46" i="9"/>
  <c r="G46" i="9"/>
  <c r="F46" i="9"/>
  <c r="E46" i="9"/>
  <c r="D46" i="9"/>
  <c r="I45" i="9"/>
  <c r="H45" i="9"/>
  <c r="G45" i="9"/>
  <c r="F45" i="9"/>
  <c r="E45" i="9"/>
  <c r="D45" i="9"/>
  <c r="I44" i="9"/>
  <c r="H44" i="9"/>
  <c r="G44" i="9"/>
  <c r="F44" i="9"/>
  <c r="E44" i="9"/>
  <c r="D44" i="9"/>
  <c r="I43" i="9"/>
  <c r="H43" i="9"/>
  <c r="G43" i="9"/>
  <c r="F43" i="9"/>
  <c r="E43" i="9"/>
  <c r="D43" i="9"/>
  <c r="I42" i="9"/>
  <c r="H42" i="9"/>
  <c r="G42" i="9"/>
  <c r="F42" i="9"/>
  <c r="E42" i="9"/>
  <c r="D42" i="9"/>
  <c r="I41" i="9"/>
  <c r="H41" i="9"/>
  <c r="G41" i="9"/>
  <c r="F41" i="9"/>
  <c r="E41" i="9"/>
  <c r="D41" i="9"/>
  <c r="I40" i="9"/>
  <c r="H40" i="9"/>
  <c r="G40" i="9"/>
  <c r="F40" i="9"/>
  <c r="E40" i="9"/>
  <c r="D40" i="9"/>
  <c r="I39" i="9"/>
  <c r="H39" i="9"/>
  <c r="G39" i="9"/>
  <c r="F39" i="9"/>
  <c r="E39" i="9"/>
  <c r="D39" i="9"/>
  <c r="I38" i="9"/>
  <c r="H38" i="9"/>
  <c r="G38" i="9"/>
  <c r="F38" i="9"/>
  <c r="E38" i="9"/>
  <c r="D38" i="9"/>
  <c r="I37" i="9"/>
  <c r="H37" i="9"/>
  <c r="G37" i="9"/>
  <c r="F37" i="9"/>
  <c r="E37" i="9"/>
  <c r="D37" i="9"/>
  <c r="I36" i="9"/>
  <c r="H36" i="9"/>
  <c r="G36" i="9"/>
  <c r="F36" i="9"/>
  <c r="E36" i="9"/>
  <c r="D36" i="9"/>
  <c r="I35" i="9"/>
  <c r="H35" i="9"/>
  <c r="G35" i="9"/>
  <c r="F35" i="9"/>
  <c r="E35" i="9"/>
  <c r="D35" i="9"/>
  <c r="I34" i="9"/>
  <c r="H34" i="9"/>
  <c r="G34" i="9"/>
  <c r="F34" i="9"/>
  <c r="E34" i="9"/>
  <c r="D34" i="9"/>
  <c r="I33" i="9"/>
  <c r="H33" i="9"/>
  <c r="G33" i="9"/>
  <c r="F33" i="9"/>
  <c r="E33" i="9"/>
  <c r="D33" i="9"/>
  <c r="I32" i="9"/>
  <c r="H32" i="9"/>
  <c r="G32" i="9"/>
  <c r="F32" i="9"/>
  <c r="E32" i="9"/>
  <c r="D32" i="9"/>
  <c r="I31" i="9"/>
  <c r="H31" i="9"/>
  <c r="G31" i="9"/>
  <c r="F31" i="9"/>
  <c r="E31" i="9"/>
  <c r="D31" i="9"/>
  <c r="I30" i="9"/>
  <c r="H30" i="9"/>
  <c r="G30" i="9"/>
  <c r="F30" i="9"/>
  <c r="E30" i="9"/>
  <c r="D30" i="9"/>
  <c r="I29" i="9"/>
  <c r="H29" i="9"/>
  <c r="G29" i="9"/>
  <c r="F29" i="9"/>
  <c r="E29" i="9"/>
  <c r="D29" i="9"/>
  <c r="I28" i="9"/>
  <c r="H28" i="9"/>
  <c r="G28" i="9"/>
  <c r="F28" i="9"/>
  <c r="E28" i="9"/>
  <c r="D28" i="9"/>
  <c r="I27" i="9"/>
  <c r="H27" i="9"/>
  <c r="G27" i="9"/>
  <c r="F27" i="9"/>
  <c r="E27" i="9"/>
  <c r="D27" i="9"/>
  <c r="I26" i="9"/>
  <c r="H26" i="9"/>
  <c r="G26" i="9"/>
  <c r="F26" i="9"/>
  <c r="E26" i="9"/>
  <c r="D26" i="9"/>
  <c r="I25" i="9"/>
  <c r="H25" i="9"/>
  <c r="G25" i="9"/>
  <c r="F25" i="9"/>
  <c r="E25" i="9"/>
  <c r="D25" i="9"/>
  <c r="I24" i="9"/>
  <c r="H24" i="9"/>
  <c r="G24" i="9"/>
  <c r="F24" i="9"/>
  <c r="E24" i="9"/>
  <c r="D24" i="9"/>
  <c r="I23" i="9"/>
  <c r="H23" i="9"/>
  <c r="G23" i="9"/>
  <c r="F23" i="9"/>
  <c r="E23" i="9"/>
  <c r="D23" i="9"/>
  <c r="I22" i="9"/>
  <c r="H22" i="9"/>
  <c r="G22" i="9"/>
  <c r="F22" i="9"/>
  <c r="E22" i="9"/>
  <c r="D22" i="9"/>
  <c r="I21" i="9"/>
  <c r="H21" i="9"/>
  <c r="G21" i="9"/>
  <c r="F21" i="9"/>
  <c r="E21" i="9"/>
  <c r="D21" i="9"/>
  <c r="I20" i="9"/>
  <c r="H20" i="9"/>
  <c r="G20" i="9"/>
  <c r="F20" i="9"/>
  <c r="E20" i="9"/>
  <c r="D20" i="9"/>
  <c r="P19" i="9"/>
  <c r="I19" i="9"/>
  <c r="H19" i="9"/>
  <c r="G19" i="9"/>
  <c r="F19" i="9"/>
  <c r="E19" i="9"/>
  <c r="D19" i="9"/>
  <c r="I18" i="9"/>
  <c r="H18" i="9"/>
  <c r="G18" i="9"/>
  <c r="F18" i="9"/>
  <c r="E18" i="9"/>
  <c r="D18" i="9"/>
  <c r="P17" i="9"/>
  <c r="I17" i="9"/>
  <c r="H17" i="9"/>
  <c r="G17" i="9"/>
  <c r="F17" i="9"/>
  <c r="E17" i="9"/>
  <c r="D17" i="9"/>
  <c r="I16" i="9"/>
  <c r="H16" i="9"/>
  <c r="G16" i="9"/>
  <c r="F16" i="9"/>
  <c r="E16" i="9"/>
  <c r="D16" i="9"/>
  <c r="P15" i="9"/>
  <c r="I15" i="9"/>
  <c r="H15" i="9"/>
  <c r="G15" i="9"/>
  <c r="F15" i="9"/>
  <c r="E15" i="9"/>
  <c r="D15" i="9"/>
  <c r="I14" i="9"/>
  <c r="H14" i="9"/>
  <c r="G14" i="9"/>
  <c r="F14" i="9"/>
  <c r="E14" i="9"/>
  <c r="D14" i="9"/>
  <c r="I13" i="9"/>
  <c r="H13" i="9"/>
  <c r="G13" i="9"/>
  <c r="F13" i="9"/>
  <c r="E13" i="9"/>
  <c r="D13" i="9"/>
  <c r="I12" i="9"/>
  <c r="H12" i="9"/>
  <c r="G12" i="9"/>
  <c r="F12" i="9"/>
  <c r="E12" i="9"/>
  <c r="D12" i="9"/>
  <c r="P11" i="9"/>
  <c r="I11" i="9"/>
  <c r="H11" i="9"/>
  <c r="G11" i="9"/>
  <c r="F11" i="9"/>
  <c r="E11" i="9"/>
  <c r="D11" i="9"/>
  <c r="I10" i="9"/>
  <c r="H10" i="9"/>
  <c r="G10" i="9"/>
  <c r="F10" i="9"/>
  <c r="E10" i="9"/>
  <c r="D10" i="9"/>
  <c r="P9" i="9"/>
  <c r="I9" i="9"/>
  <c r="H9" i="9"/>
  <c r="G9" i="9"/>
  <c r="F9" i="9"/>
  <c r="E9" i="9"/>
  <c r="D9" i="9"/>
  <c r="I8" i="9"/>
  <c r="H8" i="9"/>
  <c r="G8" i="9"/>
  <c r="F8" i="9"/>
  <c r="E8" i="9"/>
  <c r="D8" i="9"/>
  <c r="P7" i="9"/>
  <c r="I7" i="9"/>
  <c r="H7" i="9"/>
  <c r="G7" i="9"/>
  <c r="F7" i="9"/>
  <c r="E7" i="9"/>
  <c r="D7" i="9"/>
  <c r="I6" i="9"/>
  <c r="H6" i="9"/>
  <c r="G6" i="9"/>
  <c r="F6" i="9"/>
  <c r="E6" i="9"/>
  <c r="D6" i="9"/>
  <c r="P5" i="9"/>
  <c r="I5" i="9"/>
  <c r="H5" i="9"/>
  <c r="G5" i="9"/>
  <c r="F5" i="9"/>
  <c r="E5" i="9"/>
  <c r="D5" i="9"/>
  <c r="I4" i="9"/>
  <c r="H4" i="9"/>
  <c r="G4" i="9"/>
  <c r="F4" i="9"/>
  <c r="E4" i="9"/>
  <c r="D4" i="9"/>
  <c r="P3" i="9"/>
  <c r="I3" i="9"/>
  <c r="H3" i="9"/>
  <c r="G3" i="9"/>
  <c r="F3" i="9"/>
  <c r="E3" i="9"/>
  <c r="D3" i="9"/>
  <c r="G184" i="8"/>
  <c r="H183" i="8"/>
  <c r="G183" i="8"/>
  <c r="F183" i="8"/>
  <c r="H180" i="8"/>
  <c r="G180" i="8"/>
  <c r="F180" i="8"/>
  <c r="E180" i="8"/>
  <c r="D180" i="8"/>
  <c r="H179" i="8"/>
  <c r="G179" i="8"/>
  <c r="F179" i="8"/>
  <c r="E179" i="8"/>
  <c r="D179" i="8"/>
  <c r="H178" i="8"/>
  <c r="G178" i="8"/>
  <c r="F178" i="8"/>
  <c r="E178" i="8"/>
  <c r="D178" i="8"/>
  <c r="H177" i="8"/>
  <c r="G177" i="8"/>
  <c r="F177" i="8"/>
  <c r="E177" i="8"/>
  <c r="D177" i="8"/>
  <c r="H176" i="8"/>
  <c r="G176" i="8"/>
  <c r="F176" i="8"/>
  <c r="E176" i="8"/>
  <c r="D176" i="8"/>
  <c r="H175" i="8"/>
  <c r="G175" i="8"/>
  <c r="F175" i="8"/>
  <c r="E175" i="8"/>
  <c r="D175" i="8"/>
  <c r="H174" i="8"/>
  <c r="G174" i="8"/>
  <c r="F174" i="8"/>
  <c r="E174" i="8"/>
  <c r="D174" i="8"/>
  <c r="H173" i="8"/>
  <c r="G173" i="8"/>
  <c r="F173" i="8"/>
  <c r="E173" i="8"/>
  <c r="D173" i="8"/>
  <c r="H172" i="8"/>
  <c r="G172" i="8"/>
  <c r="F172" i="8"/>
  <c r="E172" i="8"/>
  <c r="D172" i="8"/>
  <c r="H171" i="8"/>
  <c r="G171" i="8"/>
  <c r="F171" i="8"/>
  <c r="E171" i="8"/>
  <c r="D171" i="8"/>
  <c r="H170" i="8"/>
  <c r="G170" i="8"/>
  <c r="F170" i="8"/>
  <c r="E170" i="8"/>
  <c r="D170" i="8"/>
  <c r="H169" i="8"/>
  <c r="G169" i="8"/>
  <c r="F169" i="8"/>
  <c r="E169" i="8"/>
  <c r="D169" i="8"/>
  <c r="H168" i="8"/>
  <c r="G168" i="8"/>
  <c r="F168" i="8"/>
  <c r="E168" i="8"/>
  <c r="D168" i="8"/>
  <c r="H167" i="8"/>
  <c r="G167" i="8"/>
  <c r="F167" i="8"/>
  <c r="E167" i="8"/>
  <c r="D167" i="8"/>
  <c r="H166" i="8"/>
  <c r="G166" i="8"/>
  <c r="F166" i="8"/>
  <c r="E166" i="8"/>
  <c r="D166" i="8"/>
  <c r="H165" i="8"/>
  <c r="G165" i="8"/>
  <c r="F165" i="8"/>
  <c r="E165" i="8"/>
  <c r="D165" i="8"/>
  <c r="H164" i="8"/>
  <c r="G164" i="8"/>
  <c r="F164" i="8"/>
  <c r="E164" i="8"/>
  <c r="D164" i="8"/>
  <c r="H163" i="8"/>
  <c r="G163" i="8"/>
  <c r="F163" i="8"/>
  <c r="E163" i="8"/>
  <c r="D163" i="8"/>
  <c r="H162" i="8"/>
  <c r="G162" i="8"/>
  <c r="F162" i="8"/>
  <c r="E162" i="8"/>
  <c r="D162" i="8"/>
  <c r="H161" i="8"/>
  <c r="G161" i="8"/>
  <c r="F161" i="8"/>
  <c r="E161" i="8"/>
  <c r="D161" i="8"/>
  <c r="H160" i="8"/>
  <c r="G160" i="8"/>
  <c r="F160" i="8"/>
  <c r="E160" i="8"/>
  <c r="D160" i="8"/>
  <c r="H159" i="8"/>
  <c r="G159" i="8"/>
  <c r="F159" i="8"/>
  <c r="E159" i="8"/>
  <c r="D159" i="8"/>
  <c r="H158" i="8"/>
  <c r="G158" i="8"/>
  <c r="F158" i="8"/>
  <c r="E158" i="8"/>
  <c r="D158" i="8"/>
  <c r="H157" i="8"/>
  <c r="G157" i="8"/>
  <c r="F157" i="8"/>
  <c r="E157" i="8"/>
  <c r="D157" i="8"/>
  <c r="H156" i="8"/>
  <c r="G156" i="8"/>
  <c r="F156" i="8"/>
  <c r="E156" i="8"/>
  <c r="D156" i="8"/>
  <c r="H155" i="8"/>
  <c r="G155" i="8"/>
  <c r="F155" i="8"/>
  <c r="E155" i="8"/>
  <c r="D155" i="8"/>
  <c r="H154" i="8"/>
  <c r="G154" i="8"/>
  <c r="F154" i="8"/>
  <c r="E154" i="8"/>
  <c r="D154" i="8"/>
  <c r="H153" i="8"/>
  <c r="G153" i="8"/>
  <c r="F153" i="8"/>
  <c r="E153" i="8"/>
  <c r="D153" i="8"/>
  <c r="H152" i="8"/>
  <c r="G152" i="8"/>
  <c r="F152" i="8"/>
  <c r="E152" i="8"/>
  <c r="D152" i="8"/>
  <c r="H151" i="8"/>
  <c r="G151" i="8"/>
  <c r="F151" i="8"/>
  <c r="E151" i="8"/>
  <c r="D151" i="8"/>
  <c r="H150" i="8"/>
  <c r="G150" i="8"/>
  <c r="F150" i="8"/>
  <c r="E150" i="8"/>
  <c r="D150" i="8"/>
  <c r="H149" i="8"/>
  <c r="G149" i="8"/>
  <c r="F149" i="8"/>
  <c r="E149" i="8"/>
  <c r="D149" i="8"/>
  <c r="H148" i="8"/>
  <c r="G148" i="8"/>
  <c r="F148" i="8"/>
  <c r="E148" i="8"/>
  <c r="D148" i="8"/>
  <c r="H147" i="8"/>
  <c r="G147" i="8"/>
  <c r="F147" i="8"/>
  <c r="E147" i="8"/>
  <c r="D147" i="8"/>
  <c r="H146" i="8"/>
  <c r="G146" i="8"/>
  <c r="F146" i="8"/>
  <c r="E146" i="8"/>
  <c r="D146" i="8"/>
  <c r="H145" i="8"/>
  <c r="G145" i="8"/>
  <c r="F145" i="8"/>
  <c r="E145" i="8"/>
  <c r="D145" i="8"/>
  <c r="H144" i="8"/>
  <c r="G144" i="8"/>
  <c r="F144" i="8"/>
  <c r="E144" i="8"/>
  <c r="D144" i="8"/>
  <c r="H143" i="8"/>
  <c r="G143" i="8"/>
  <c r="F143" i="8"/>
  <c r="E143" i="8"/>
  <c r="D143" i="8"/>
  <c r="H142" i="8"/>
  <c r="G142" i="8"/>
  <c r="F142" i="8"/>
  <c r="E142" i="8"/>
  <c r="D142" i="8"/>
  <c r="H141" i="8"/>
  <c r="G141" i="8"/>
  <c r="F141" i="8"/>
  <c r="E141" i="8"/>
  <c r="D141" i="8"/>
  <c r="H140" i="8"/>
  <c r="G140" i="8"/>
  <c r="F140" i="8"/>
  <c r="E140" i="8"/>
  <c r="D140" i="8"/>
  <c r="H139" i="8"/>
  <c r="G139" i="8"/>
  <c r="F139" i="8"/>
  <c r="E139" i="8"/>
  <c r="D139" i="8"/>
  <c r="H138" i="8"/>
  <c r="G138" i="8"/>
  <c r="F138" i="8"/>
  <c r="E138" i="8"/>
  <c r="D138" i="8"/>
  <c r="H137" i="8"/>
  <c r="G137" i="8"/>
  <c r="F137" i="8"/>
  <c r="E137" i="8"/>
  <c r="D137" i="8"/>
  <c r="H136" i="8"/>
  <c r="G136" i="8"/>
  <c r="F136" i="8"/>
  <c r="E136" i="8"/>
  <c r="D136" i="8"/>
  <c r="H135" i="8"/>
  <c r="G135" i="8"/>
  <c r="F135" i="8"/>
  <c r="E135" i="8"/>
  <c r="D135" i="8"/>
  <c r="H134" i="8"/>
  <c r="G134" i="8"/>
  <c r="F134" i="8"/>
  <c r="E134" i="8"/>
  <c r="D134" i="8"/>
  <c r="H133" i="8"/>
  <c r="G133" i="8"/>
  <c r="F133" i="8"/>
  <c r="E133" i="8"/>
  <c r="D133" i="8"/>
  <c r="H132" i="8"/>
  <c r="G132" i="8"/>
  <c r="F132" i="8"/>
  <c r="E132" i="8"/>
  <c r="D132" i="8"/>
  <c r="H131" i="8"/>
  <c r="G131" i="8"/>
  <c r="F131" i="8"/>
  <c r="E131" i="8"/>
  <c r="D131" i="8"/>
  <c r="H130" i="8"/>
  <c r="G130" i="8"/>
  <c r="F130" i="8"/>
  <c r="E130" i="8"/>
  <c r="D130" i="8"/>
  <c r="H129" i="8"/>
  <c r="G129" i="8"/>
  <c r="F129" i="8"/>
  <c r="E129" i="8"/>
  <c r="D129" i="8"/>
  <c r="H128" i="8"/>
  <c r="G128" i="8"/>
  <c r="F128" i="8"/>
  <c r="E128" i="8"/>
  <c r="D128" i="8"/>
  <c r="H127" i="8"/>
  <c r="G127" i="8"/>
  <c r="F127" i="8"/>
  <c r="E127" i="8"/>
  <c r="D127" i="8"/>
  <c r="H126" i="8"/>
  <c r="G126" i="8"/>
  <c r="F126" i="8"/>
  <c r="E126" i="8"/>
  <c r="D126" i="8"/>
  <c r="H125" i="8"/>
  <c r="G125" i="8"/>
  <c r="F125" i="8"/>
  <c r="E125" i="8"/>
  <c r="D125" i="8"/>
  <c r="H124" i="8"/>
  <c r="G124" i="8"/>
  <c r="F124" i="8"/>
  <c r="E124" i="8"/>
  <c r="D124" i="8"/>
  <c r="H123" i="8"/>
  <c r="G123" i="8"/>
  <c r="F123" i="8"/>
  <c r="E123" i="8"/>
  <c r="D123" i="8"/>
  <c r="H122" i="8"/>
  <c r="G122" i="8"/>
  <c r="F122" i="8"/>
  <c r="E122" i="8"/>
  <c r="D122" i="8"/>
  <c r="H121" i="8"/>
  <c r="G121" i="8"/>
  <c r="F121" i="8"/>
  <c r="E121" i="8"/>
  <c r="D121" i="8"/>
  <c r="H120" i="8"/>
  <c r="G120" i="8"/>
  <c r="F120" i="8"/>
  <c r="E120" i="8"/>
  <c r="D120" i="8"/>
  <c r="H119" i="8"/>
  <c r="G119" i="8"/>
  <c r="F119" i="8"/>
  <c r="E119" i="8"/>
  <c r="D119" i="8"/>
  <c r="H118" i="8"/>
  <c r="G118" i="8"/>
  <c r="F118" i="8"/>
  <c r="E118" i="8"/>
  <c r="D118" i="8"/>
  <c r="H117" i="8"/>
  <c r="G117" i="8"/>
  <c r="F117" i="8"/>
  <c r="E117" i="8"/>
  <c r="D117" i="8"/>
  <c r="H116" i="8"/>
  <c r="G116" i="8"/>
  <c r="F116" i="8"/>
  <c r="E116" i="8"/>
  <c r="D116" i="8"/>
  <c r="H115" i="8"/>
  <c r="G115" i="8"/>
  <c r="F115" i="8"/>
  <c r="E115" i="8"/>
  <c r="D115" i="8"/>
  <c r="H114" i="8"/>
  <c r="G114" i="8"/>
  <c r="F114" i="8"/>
  <c r="E114" i="8"/>
  <c r="D114" i="8"/>
  <c r="H113" i="8"/>
  <c r="G113" i="8"/>
  <c r="F113" i="8"/>
  <c r="E113" i="8"/>
  <c r="D113" i="8"/>
  <c r="H112" i="8"/>
  <c r="G112" i="8"/>
  <c r="F112" i="8"/>
  <c r="E112" i="8"/>
  <c r="D112" i="8"/>
  <c r="H111" i="8"/>
  <c r="G111" i="8"/>
  <c r="F111" i="8"/>
  <c r="E111" i="8"/>
  <c r="D111" i="8"/>
  <c r="H110" i="8"/>
  <c r="G110" i="8"/>
  <c r="F110" i="8"/>
  <c r="E110" i="8"/>
  <c r="D110" i="8"/>
  <c r="H109" i="8"/>
  <c r="G109" i="8"/>
  <c r="F109" i="8"/>
  <c r="E109" i="8"/>
  <c r="D109" i="8"/>
  <c r="H108" i="8"/>
  <c r="G108" i="8"/>
  <c r="F108" i="8"/>
  <c r="E108" i="8"/>
  <c r="D108" i="8"/>
  <c r="H107" i="8"/>
  <c r="G107" i="8"/>
  <c r="F107" i="8"/>
  <c r="E107" i="8"/>
  <c r="D107" i="8"/>
  <c r="H106" i="8"/>
  <c r="G106" i="8"/>
  <c r="F106" i="8"/>
  <c r="E106" i="8"/>
  <c r="D106" i="8"/>
  <c r="H105" i="8"/>
  <c r="G105" i="8"/>
  <c r="F105" i="8"/>
  <c r="E105" i="8"/>
  <c r="D105" i="8"/>
  <c r="H104" i="8"/>
  <c r="G104" i="8"/>
  <c r="F104" i="8"/>
  <c r="E104" i="8"/>
  <c r="D104" i="8"/>
  <c r="H103" i="8"/>
  <c r="G103" i="8"/>
  <c r="F103" i="8"/>
  <c r="E103" i="8"/>
  <c r="D103" i="8"/>
  <c r="H102" i="8"/>
  <c r="G102" i="8"/>
  <c r="F102" i="8"/>
  <c r="E102" i="8"/>
  <c r="D102" i="8"/>
  <c r="H101" i="8"/>
  <c r="G101" i="8"/>
  <c r="F101" i="8"/>
  <c r="E101" i="8"/>
  <c r="D101" i="8"/>
  <c r="H100" i="8"/>
  <c r="G100" i="8"/>
  <c r="F100" i="8"/>
  <c r="E100" i="8"/>
  <c r="D100" i="8"/>
  <c r="H99" i="8"/>
  <c r="G99" i="8"/>
  <c r="F99" i="8"/>
  <c r="E99" i="8"/>
  <c r="D99" i="8"/>
  <c r="H98" i="8"/>
  <c r="G98" i="8"/>
  <c r="F98" i="8"/>
  <c r="E98" i="8"/>
  <c r="D98" i="8"/>
  <c r="H97" i="8"/>
  <c r="G97" i="8"/>
  <c r="F97" i="8"/>
  <c r="E97" i="8"/>
  <c r="D97" i="8"/>
  <c r="H96" i="8"/>
  <c r="G96" i="8"/>
  <c r="F96" i="8"/>
  <c r="E96" i="8"/>
  <c r="D96" i="8"/>
  <c r="H95" i="8"/>
  <c r="G95" i="8"/>
  <c r="F95" i="8"/>
  <c r="E95" i="8"/>
  <c r="D95" i="8"/>
  <c r="H94" i="8"/>
  <c r="G94" i="8"/>
  <c r="F94" i="8"/>
  <c r="E94" i="8"/>
  <c r="D94" i="8"/>
  <c r="H93" i="8"/>
  <c r="G93" i="8"/>
  <c r="F93" i="8"/>
  <c r="E93" i="8"/>
  <c r="D93" i="8"/>
  <c r="H92" i="8"/>
  <c r="G92" i="8"/>
  <c r="F92" i="8"/>
  <c r="E92" i="8"/>
  <c r="D92" i="8"/>
  <c r="H91" i="8"/>
  <c r="G91" i="8"/>
  <c r="F91" i="8"/>
  <c r="E91" i="8"/>
  <c r="D91" i="8"/>
  <c r="H90" i="8"/>
  <c r="G90" i="8"/>
  <c r="F90" i="8"/>
  <c r="E90" i="8"/>
  <c r="D90" i="8"/>
  <c r="H89" i="8"/>
  <c r="G89" i="8"/>
  <c r="F89" i="8"/>
  <c r="E89" i="8"/>
  <c r="D89" i="8"/>
  <c r="H88" i="8"/>
  <c r="G88" i="8"/>
  <c r="F88" i="8"/>
  <c r="E88" i="8"/>
  <c r="D88" i="8"/>
  <c r="H87" i="8"/>
  <c r="G87" i="8"/>
  <c r="F87" i="8"/>
  <c r="E87" i="8"/>
  <c r="D87" i="8"/>
  <c r="H86" i="8"/>
  <c r="G86" i="8"/>
  <c r="F86" i="8"/>
  <c r="E86" i="8"/>
  <c r="D86" i="8"/>
  <c r="H85" i="8"/>
  <c r="G85" i="8"/>
  <c r="F85" i="8"/>
  <c r="E85" i="8"/>
  <c r="D85" i="8"/>
  <c r="H84" i="8"/>
  <c r="G84" i="8"/>
  <c r="F84" i="8"/>
  <c r="E84" i="8"/>
  <c r="D84" i="8"/>
  <c r="H83" i="8"/>
  <c r="G83" i="8"/>
  <c r="F83" i="8"/>
  <c r="E83" i="8"/>
  <c r="D83" i="8"/>
  <c r="H82" i="8"/>
  <c r="G82" i="8"/>
  <c r="F82" i="8"/>
  <c r="E82" i="8"/>
  <c r="D82" i="8"/>
  <c r="H81" i="8"/>
  <c r="G81" i="8"/>
  <c r="F81" i="8"/>
  <c r="E81" i="8"/>
  <c r="D81" i="8"/>
  <c r="H80" i="8"/>
  <c r="G80" i="8"/>
  <c r="F80" i="8"/>
  <c r="E80" i="8"/>
  <c r="D80" i="8"/>
  <c r="H79" i="8"/>
  <c r="G79" i="8"/>
  <c r="F79" i="8"/>
  <c r="E79" i="8"/>
  <c r="D79" i="8"/>
  <c r="H78" i="8"/>
  <c r="G78" i="8"/>
  <c r="F78" i="8"/>
  <c r="E78" i="8"/>
  <c r="D78" i="8"/>
  <c r="H77" i="8"/>
  <c r="G77" i="8"/>
  <c r="F77" i="8"/>
  <c r="E77" i="8"/>
  <c r="D77" i="8"/>
  <c r="H76" i="8"/>
  <c r="G76" i="8"/>
  <c r="F76" i="8"/>
  <c r="E76" i="8"/>
  <c r="D76" i="8"/>
  <c r="H75" i="8"/>
  <c r="G75" i="8"/>
  <c r="F75" i="8"/>
  <c r="E75" i="8"/>
  <c r="D75" i="8"/>
  <c r="H74" i="8"/>
  <c r="G74" i="8"/>
  <c r="F74" i="8"/>
  <c r="E74" i="8"/>
  <c r="D74" i="8"/>
  <c r="H73" i="8"/>
  <c r="G73" i="8"/>
  <c r="F73" i="8"/>
  <c r="E73" i="8"/>
  <c r="D73" i="8"/>
  <c r="H72" i="8"/>
  <c r="G72" i="8"/>
  <c r="F72" i="8"/>
  <c r="E72" i="8"/>
  <c r="D72" i="8"/>
  <c r="H71" i="8"/>
  <c r="G71" i="8"/>
  <c r="F71" i="8"/>
  <c r="E71" i="8"/>
  <c r="D71" i="8"/>
  <c r="H70" i="8"/>
  <c r="G70" i="8"/>
  <c r="F70" i="8"/>
  <c r="E70" i="8"/>
  <c r="D70" i="8"/>
  <c r="H69" i="8"/>
  <c r="G69" i="8"/>
  <c r="F69" i="8"/>
  <c r="E69" i="8"/>
  <c r="D69" i="8"/>
  <c r="H68" i="8"/>
  <c r="G68" i="8"/>
  <c r="F68" i="8"/>
  <c r="E68" i="8"/>
  <c r="D68" i="8"/>
  <c r="H67" i="8"/>
  <c r="G67" i="8"/>
  <c r="F67" i="8"/>
  <c r="E67" i="8"/>
  <c r="D67" i="8"/>
  <c r="H66" i="8"/>
  <c r="G66" i="8"/>
  <c r="F66" i="8"/>
  <c r="E66" i="8"/>
  <c r="D66" i="8"/>
  <c r="H65" i="8"/>
  <c r="G65" i="8"/>
  <c r="F65" i="8"/>
  <c r="E65" i="8"/>
  <c r="D65" i="8"/>
  <c r="H64" i="8"/>
  <c r="G64" i="8"/>
  <c r="F64" i="8"/>
  <c r="E64" i="8"/>
  <c r="D64" i="8"/>
  <c r="H63" i="8"/>
  <c r="G63" i="8"/>
  <c r="F63" i="8"/>
  <c r="E63" i="8"/>
  <c r="D63" i="8"/>
  <c r="H62" i="8"/>
  <c r="G62" i="8"/>
  <c r="F62" i="8"/>
  <c r="E62" i="8"/>
  <c r="D62" i="8"/>
  <c r="H61" i="8"/>
  <c r="G61" i="8"/>
  <c r="F61" i="8"/>
  <c r="E61" i="8"/>
  <c r="D61" i="8"/>
  <c r="H60" i="8"/>
  <c r="G60" i="8"/>
  <c r="F60" i="8"/>
  <c r="E60" i="8"/>
  <c r="D60" i="8"/>
  <c r="H59" i="8"/>
  <c r="G59" i="8"/>
  <c r="F59" i="8"/>
  <c r="E59" i="8"/>
  <c r="D59" i="8"/>
  <c r="H58" i="8"/>
  <c r="G58" i="8"/>
  <c r="F58" i="8"/>
  <c r="E58" i="8"/>
  <c r="D58" i="8"/>
  <c r="H57" i="8"/>
  <c r="G57" i="8"/>
  <c r="F57" i="8"/>
  <c r="E57" i="8"/>
  <c r="D57" i="8"/>
  <c r="H56" i="8"/>
  <c r="G56" i="8"/>
  <c r="F56" i="8"/>
  <c r="E56" i="8"/>
  <c r="D56" i="8"/>
  <c r="H55" i="8"/>
  <c r="G55" i="8"/>
  <c r="F55" i="8"/>
  <c r="E55" i="8"/>
  <c r="D55" i="8"/>
  <c r="H54" i="8"/>
  <c r="G54" i="8"/>
  <c r="F54" i="8"/>
  <c r="E54" i="8"/>
  <c r="D54" i="8"/>
  <c r="H53" i="8"/>
  <c r="G53" i="8"/>
  <c r="F53" i="8"/>
  <c r="E53" i="8"/>
  <c r="D53" i="8"/>
  <c r="H52" i="8"/>
  <c r="G52" i="8"/>
  <c r="F52" i="8"/>
  <c r="E52" i="8"/>
  <c r="D52" i="8"/>
  <c r="H51" i="8"/>
  <c r="G51" i="8"/>
  <c r="F51" i="8"/>
  <c r="E51" i="8"/>
  <c r="D51" i="8"/>
  <c r="H50" i="8"/>
  <c r="G50" i="8"/>
  <c r="F50" i="8"/>
  <c r="E50" i="8"/>
  <c r="D50" i="8"/>
  <c r="H49" i="8"/>
  <c r="G49" i="8"/>
  <c r="F49" i="8"/>
  <c r="E49" i="8"/>
  <c r="D49" i="8"/>
  <c r="H48" i="8"/>
  <c r="G48" i="8"/>
  <c r="F48" i="8"/>
  <c r="E48" i="8"/>
  <c r="D48" i="8"/>
  <c r="H47" i="8"/>
  <c r="G47" i="8"/>
  <c r="F47" i="8"/>
  <c r="E47" i="8"/>
  <c r="D47" i="8"/>
  <c r="H46" i="8"/>
  <c r="G46" i="8"/>
  <c r="F46" i="8"/>
  <c r="E46" i="8"/>
  <c r="D46" i="8"/>
  <c r="H45" i="8"/>
  <c r="G45" i="8"/>
  <c r="F45" i="8"/>
  <c r="E45" i="8"/>
  <c r="D45" i="8"/>
  <c r="H44" i="8"/>
  <c r="G44" i="8"/>
  <c r="F44" i="8"/>
  <c r="E44" i="8"/>
  <c r="D44" i="8"/>
  <c r="H43" i="8"/>
  <c r="G43" i="8"/>
  <c r="F43" i="8"/>
  <c r="E43" i="8"/>
  <c r="D43" i="8"/>
  <c r="H42" i="8"/>
  <c r="G42" i="8"/>
  <c r="F42" i="8"/>
  <c r="E42" i="8"/>
  <c r="D42" i="8"/>
  <c r="H41" i="8"/>
  <c r="G41" i="8"/>
  <c r="F41" i="8"/>
  <c r="E41" i="8"/>
  <c r="D41" i="8"/>
  <c r="H40" i="8"/>
  <c r="G40" i="8"/>
  <c r="F40" i="8"/>
  <c r="E40" i="8"/>
  <c r="D40" i="8"/>
  <c r="H39" i="8"/>
  <c r="G39" i="8"/>
  <c r="F39" i="8"/>
  <c r="E39" i="8"/>
  <c r="D39" i="8"/>
  <c r="H38" i="8"/>
  <c r="G38" i="8"/>
  <c r="F38" i="8"/>
  <c r="E38" i="8"/>
  <c r="D38" i="8"/>
  <c r="H37" i="8"/>
  <c r="G37" i="8"/>
  <c r="F37" i="8"/>
  <c r="E37" i="8"/>
  <c r="D37" i="8"/>
  <c r="H36" i="8"/>
  <c r="G36" i="8"/>
  <c r="F36" i="8"/>
  <c r="E36" i="8"/>
  <c r="D36" i="8"/>
  <c r="H35" i="8"/>
  <c r="G35" i="8"/>
  <c r="F35" i="8"/>
  <c r="E35" i="8"/>
  <c r="D35" i="8"/>
  <c r="H34" i="8"/>
  <c r="G34" i="8"/>
  <c r="F34" i="8"/>
  <c r="E34" i="8"/>
  <c r="D34" i="8"/>
  <c r="H33" i="8"/>
  <c r="G33" i="8"/>
  <c r="F33" i="8"/>
  <c r="E33" i="8"/>
  <c r="D33" i="8"/>
  <c r="H32" i="8"/>
  <c r="G32" i="8"/>
  <c r="F32" i="8"/>
  <c r="E32" i="8"/>
  <c r="D32" i="8"/>
  <c r="H31" i="8"/>
  <c r="G31" i="8"/>
  <c r="F31" i="8"/>
  <c r="E31" i="8"/>
  <c r="D31" i="8"/>
  <c r="H30" i="8"/>
  <c r="G30" i="8"/>
  <c r="F30" i="8"/>
  <c r="E30" i="8"/>
  <c r="D30" i="8"/>
  <c r="H29" i="8"/>
  <c r="G29" i="8"/>
  <c r="F29" i="8"/>
  <c r="E29" i="8"/>
  <c r="D29" i="8"/>
  <c r="H28" i="8"/>
  <c r="G28" i="8"/>
  <c r="F28" i="8"/>
  <c r="E28" i="8"/>
  <c r="D28" i="8"/>
  <c r="H27" i="8"/>
  <c r="G27" i="8"/>
  <c r="F27" i="8"/>
  <c r="E27" i="8"/>
  <c r="D27" i="8"/>
  <c r="H26" i="8"/>
  <c r="G26" i="8"/>
  <c r="F26" i="8"/>
  <c r="E26" i="8"/>
  <c r="D26" i="8"/>
  <c r="H25" i="8"/>
  <c r="G25" i="8"/>
  <c r="F25" i="8"/>
  <c r="E25" i="8"/>
  <c r="D25" i="8"/>
  <c r="H24" i="8"/>
  <c r="G24" i="8"/>
  <c r="F24" i="8"/>
  <c r="E24" i="8"/>
  <c r="D24" i="8"/>
  <c r="H23" i="8"/>
  <c r="G23" i="8"/>
  <c r="F23" i="8"/>
  <c r="E23" i="8"/>
  <c r="D23" i="8"/>
  <c r="H22" i="8"/>
  <c r="G22" i="8"/>
  <c r="F22" i="8"/>
  <c r="E22" i="8"/>
  <c r="D22" i="8"/>
  <c r="H21" i="8"/>
  <c r="G21" i="8"/>
  <c r="F21" i="8"/>
  <c r="E21" i="8"/>
  <c r="D21" i="8"/>
  <c r="H20" i="8"/>
  <c r="G20" i="8"/>
  <c r="F20" i="8"/>
  <c r="E20" i="8"/>
  <c r="D20" i="8"/>
  <c r="Q19" i="8"/>
  <c r="H19" i="8"/>
  <c r="G19" i="8"/>
  <c r="F19" i="8"/>
  <c r="E19" i="8"/>
  <c r="D19" i="8"/>
  <c r="H18" i="8"/>
  <c r="G18" i="8"/>
  <c r="F18" i="8"/>
  <c r="E18" i="8"/>
  <c r="D18" i="8"/>
  <c r="Q17" i="8"/>
  <c r="H17" i="8"/>
  <c r="G17" i="8"/>
  <c r="F17" i="8"/>
  <c r="E17" i="8"/>
  <c r="D17" i="8"/>
  <c r="H16" i="8"/>
  <c r="G16" i="8"/>
  <c r="F16" i="8"/>
  <c r="E16" i="8"/>
  <c r="D16" i="8"/>
  <c r="Q15" i="8"/>
  <c r="H15" i="8"/>
  <c r="G15" i="8"/>
  <c r="F15" i="8"/>
  <c r="E15" i="8"/>
  <c r="D15" i="8"/>
  <c r="H14" i="8"/>
  <c r="G14" i="8"/>
  <c r="F14" i="8"/>
  <c r="E14" i="8"/>
  <c r="D14" i="8"/>
  <c r="H13" i="8"/>
  <c r="G13" i="8"/>
  <c r="F13" i="8"/>
  <c r="E13" i="8"/>
  <c r="D13" i="8"/>
  <c r="H12" i="8"/>
  <c r="G12" i="8"/>
  <c r="F12" i="8"/>
  <c r="E12" i="8"/>
  <c r="D12" i="8"/>
  <c r="Q11" i="8"/>
  <c r="H11" i="8"/>
  <c r="G11" i="8"/>
  <c r="F11" i="8"/>
  <c r="E11" i="8"/>
  <c r="D11" i="8"/>
  <c r="H10" i="8"/>
  <c r="G10" i="8"/>
  <c r="F10" i="8"/>
  <c r="E10" i="8"/>
  <c r="D10" i="8"/>
  <c r="Q9" i="8"/>
  <c r="H9" i="8"/>
  <c r="G9" i="8"/>
  <c r="F9" i="8"/>
  <c r="E9" i="8"/>
  <c r="D9" i="8"/>
  <c r="H8" i="8"/>
  <c r="G8" i="8"/>
  <c r="F8" i="8"/>
  <c r="E8" i="8"/>
  <c r="D8" i="8"/>
  <c r="Q7" i="8"/>
  <c r="H7" i="8"/>
  <c r="G7" i="8"/>
  <c r="F7" i="8"/>
  <c r="E7" i="8"/>
  <c r="D7" i="8"/>
  <c r="H6" i="8"/>
  <c r="G6" i="8"/>
  <c r="F6" i="8"/>
  <c r="E6" i="8"/>
  <c r="D6" i="8"/>
  <c r="Q5" i="8"/>
  <c r="H5" i="8"/>
  <c r="G5" i="8"/>
  <c r="F5" i="8"/>
  <c r="E5" i="8"/>
  <c r="D5" i="8"/>
  <c r="H4" i="8"/>
  <c r="G4" i="8"/>
  <c r="F4" i="8"/>
  <c r="E4" i="8"/>
  <c r="D4" i="8"/>
  <c r="Q3" i="8"/>
  <c r="H3" i="8"/>
  <c r="G3" i="8"/>
  <c r="F3" i="8"/>
  <c r="E3" i="8"/>
  <c r="D3" i="8"/>
  <c r="G185" i="7"/>
  <c r="G184" i="7"/>
  <c r="F184" i="7"/>
  <c r="E184" i="7"/>
  <c r="G180" i="7"/>
  <c r="F180" i="7"/>
  <c r="E180" i="7"/>
  <c r="D180" i="7"/>
  <c r="G179" i="7"/>
  <c r="F179" i="7"/>
  <c r="E179" i="7"/>
  <c r="D179" i="7"/>
  <c r="G178" i="7"/>
  <c r="F178" i="7"/>
  <c r="E178" i="7"/>
  <c r="D178" i="7"/>
  <c r="G177" i="7"/>
  <c r="F177" i="7"/>
  <c r="E177" i="7"/>
  <c r="D177" i="7"/>
  <c r="G176" i="7"/>
  <c r="F176" i="7"/>
  <c r="E176" i="7"/>
  <c r="D176" i="7"/>
  <c r="G175" i="7"/>
  <c r="F175" i="7"/>
  <c r="E175" i="7"/>
  <c r="D175" i="7"/>
  <c r="G174" i="7"/>
  <c r="F174" i="7"/>
  <c r="E174" i="7"/>
  <c r="D174" i="7"/>
  <c r="G173" i="7"/>
  <c r="F173" i="7"/>
  <c r="E173" i="7"/>
  <c r="D173" i="7"/>
  <c r="G172" i="7"/>
  <c r="F172" i="7"/>
  <c r="E172" i="7"/>
  <c r="D172" i="7"/>
  <c r="G171" i="7"/>
  <c r="F171" i="7"/>
  <c r="E171" i="7"/>
  <c r="D171" i="7"/>
  <c r="G170" i="7"/>
  <c r="F170" i="7"/>
  <c r="E170" i="7"/>
  <c r="D170" i="7"/>
  <c r="G169" i="7"/>
  <c r="F169" i="7"/>
  <c r="E169" i="7"/>
  <c r="D169" i="7"/>
  <c r="G168" i="7"/>
  <c r="F168" i="7"/>
  <c r="E168" i="7"/>
  <c r="D168" i="7"/>
  <c r="G167" i="7"/>
  <c r="F167" i="7"/>
  <c r="E167" i="7"/>
  <c r="D167" i="7"/>
  <c r="G166" i="7"/>
  <c r="F166" i="7"/>
  <c r="E166" i="7"/>
  <c r="D166" i="7"/>
  <c r="G165" i="7"/>
  <c r="F165" i="7"/>
  <c r="E165" i="7"/>
  <c r="D165" i="7"/>
  <c r="G164" i="7"/>
  <c r="F164" i="7"/>
  <c r="E164" i="7"/>
  <c r="D164" i="7"/>
  <c r="G163" i="7"/>
  <c r="F163" i="7"/>
  <c r="E163" i="7"/>
  <c r="D163" i="7"/>
  <c r="G162" i="7"/>
  <c r="F162" i="7"/>
  <c r="E162" i="7"/>
  <c r="D162" i="7"/>
  <c r="G161" i="7"/>
  <c r="F161" i="7"/>
  <c r="E161" i="7"/>
  <c r="D161" i="7"/>
  <c r="G160" i="7"/>
  <c r="F160" i="7"/>
  <c r="E160" i="7"/>
  <c r="D160" i="7"/>
  <c r="G159" i="7"/>
  <c r="F159" i="7"/>
  <c r="E159" i="7"/>
  <c r="D159" i="7"/>
  <c r="G158" i="7"/>
  <c r="F158" i="7"/>
  <c r="E158" i="7"/>
  <c r="D158" i="7"/>
  <c r="G157" i="7"/>
  <c r="F157" i="7"/>
  <c r="E157" i="7"/>
  <c r="D157" i="7"/>
  <c r="G156" i="7"/>
  <c r="F156" i="7"/>
  <c r="E156" i="7"/>
  <c r="D156" i="7"/>
  <c r="G155" i="7"/>
  <c r="F155" i="7"/>
  <c r="E155" i="7"/>
  <c r="D155" i="7"/>
  <c r="G154" i="7"/>
  <c r="F154" i="7"/>
  <c r="E154" i="7"/>
  <c r="D154" i="7"/>
  <c r="G153" i="7"/>
  <c r="F153" i="7"/>
  <c r="E153" i="7"/>
  <c r="D153" i="7"/>
  <c r="G152" i="7"/>
  <c r="F152" i="7"/>
  <c r="E152" i="7"/>
  <c r="D152" i="7"/>
  <c r="G151" i="7"/>
  <c r="F151" i="7"/>
  <c r="E151" i="7"/>
  <c r="D151" i="7"/>
  <c r="G150" i="7"/>
  <c r="F150" i="7"/>
  <c r="E150" i="7"/>
  <c r="D150" i="7"/>
  <c r="G149" i="7"/>
  <c r="F149" i="7"/>
  <c r="E149" i="7"/>
  <c r="D149" i="7"/>
  <c r="G148" i="7"/>
  <c r="F148" i="7"/>
  <c r="E148" i="7"/>
  <c r="D148" i="7"/>
  <c r="G147" i="7"/>
  <c r="F147" i="7"/>
  <c r="E147" i="7"/>
  <c r="D147" i="7"/>
  <c r="G146" i="7"/>
  <c r="F146" i="7"/>
  <c r="E146" i="7"/>
  <c r="D146" i="7"/>
  <c r="G145" i="7"/>
  <c r="F145" i="7"/>
  <c r="E145" i="7"/>
  <c r="D145" i="7"/>
  <c r="G144" i="7"/>
  <c r="F144" i="7"/>
  <c r="E144" i="7"/>
  <c r="D144" i="7"/>
  <c r="G143" i="7"/>
  <c r="F143" i="7"/>
  <c r="E143" i="7"/>
  <c r="D143" i="7"/>
  <c r="G142" i="7"/>
  <c r="F142" i="7"/>
  <c r="E142" i="7"/>
  <c r="D142" i="7"/>
  <c r="G141" i="7"/>
  <c r="F141" i="7"/>
  <c r="E141" i="7"/>
  <c r="D141" i="7"/>
  <c r="G140" i="7"/>
  <c r="F140" i="7"/>
  <c r="E140" i="7"/>
  <c r="D140" i="7"/>
  <c r="G139" i="7"/>
  <c r="F139" i="7"/>
  <c r="E139" i="7"/>
  <c r="D139" i="7"/>
  <c r="G138" i="7"/>
  <c r="F138" i="7"/>
  <c r="E138" i="7"/>
  <c r="D138" i="7"/>
  <c r="G137" i="7"/>
  <c r="F137" i="7"/>
  <c r="E137" i="7"/>
  <c r="D137" i="7"/>
  <c r="G136" i="7"/>
  <c r="F136" i="7"/>
  <c r="E136" i="7"/>
  <c r="D136" i="7"/>
  <c r="G135" i="7"/>
  <c r="F135" i="7"/>
  <c r="E135" i="7"/>
  <c r="D135" i="7"/>
  <c r="G134" i="7"/>
  <c r="F134" i="7"/>
  <c r="E134" i="7"/>
  <c r="D134" i="7"/>
  <c r="G133" i="7"/>
  <c r="F133" i="7"/>
  <c r="E133" i="7"/>
  <c r="D133" i="7"/>
  <c r="G132" i="7"/>
  <c r="F132" i="7"/>
  <c r="E132" i="7"/>
  <c r="D132" i="7"/>
  <c r="G131" i="7"/>
  <c r="F131" i="7"/>
  <c r="E131" i="7"/>
  <c r="D131" i="7"/>
  <c r="G130" i="7"/>
  <c r="F130" i="7"/>
  <c r="E130" i="7"/>
  <c r="D130" i="7"/>
  <c r="G129" i="7"/>
  <c r="F129" i="7"/>
  <c r="E129" i="7"/>
  <c r="D129" i="7"/>
  <c r="G128" i="7"/>
  <c r="F128" i="7"/>
  <c r="E128" i="7"/>
  <c r="D128" i="7"/>
  <c r="G127" i="7"/>
  <c r="F127" i="7"/>
  <c r="E127" i="7"/>
  <c r="D127" i="7"/>
  <c r="G126" i="7"/>
  <c r="F126" i="7"/>
  <c r="E126" i="7"/>
  <c r="D126" i="7"/>
  <c r="G125" i="7"/>
  <c r="F125" i="7"/>
  <c r="E125" i="7"/>
  <c r="D125" i="7"/>
  <c r="G124" i="7"/>
  <c r="F124" i="7"/>
  <c r="E124" i="7"/>
  <c r="D124" i="7"/>
  <c r="G123" i="7"/>
  <c r="F123" i="7"/>
  <c r="E123" i="7"/>
  <c r="D123" i="7"/>
  <c r="G122" i="7"/>
  <c r="F122" i="7"/>
  <c r="E122" i="7"/>
  <c r="D122" i="7"/>
  <c r="G121" i="7"/>
  <c r="F121" i="7"/>
  <c r="E121" i="7"/>
  <c r="D121" i="7"/>
  <c r="G120" i="7"/>
  <c r="F120" i="7"/>
  <c r="E120" i="7"/>
  <c r="D120" i="7"/>
  <c r="G119" i="7"/>
  <c r="F119" i="7"/>
  <c r="E119" i="7"/>
  <c r="D119" i="7"/>
  <c r="G118" i="7"/>
  <c r="F118" i="7"/>
  <c r="E118" i="7"/>
  <c r="D118" i="7"/>
  <c r="G117" i="7"/>
  <c r="F117" i="7"/>
  <c r="E117" i="7"/>
  <c r="D117" i="7"/>
  <c r="G116" i="7"/>
  <c r="F116" i="7"/>
  <c r="E116" i="7"/>
  <c r="D116" i="7"/>
  <c r="G115" i="7"/>
  <c r="F115" i="7"/>
  <c r="E115" i="7"/>
  <c r="D115" i="7"/>
  <c r="G114" i="7"/>
  <c r="F114" i="7"/>
  <c r="E114" i="7"/>
  <c r="D114" i="7"/>
  <c r="G113" i="7"/>
  <c r="F113" i="7"/>
  <c r="E113" i="7"/>
  <c r="D113" i="7"/>
  <c r="G112" i="7"/>
  <c r="F112" i="7"/>
  <c r="E112" i="7"/>
  <c r="D112" i="7"/>
  <c r="G111" i="7"/>
  <c r="F111" i="7"/>
  <c r="E111" i="7"/>
  <c r="D111" i="7"/>
  <c r="G110" i="7"/>
  <c r="F110" i="7"/>
  <c r="E110" i="7"/>
  <c r="D110" i="7"/>
  <c r="G109" i="7"/>
  <c r="F109" i="7"/>
  <c r="E109" i="7"/>
  <c r="D109" i="7"/>
  <c r="G108" i="7"/>
  <c r="F108" i="7"/>
  <c r="E108" i="7"/>
  <c r="D108" i="7"/>
  <c r="G107" i="7"/>
  <c r="F107" i="7"/>
  <c r="E107" i="7"/>
  <c r="D107" i="7"/>
  <c r="G106" i="7"/>
  <c r="F106" i="7"/>
  <c r="E106" i="7"/>
  <c r="D106" i="7"/>
  <c r="G105" i="7"/>
  <c r="F105" i="7"/>
  <c r="E105" i="7"/>
  <c r="D105" i="7"/>
  <c r="G104" i="7"/>
  <c r="F104" i="7"/>
  <c r="E104" i="7"/>
  <c r="D104" i="7"/>
  <c r="G103" i="7"/>
  <c r="F103" i="7"/>
  <c r="E103" i="7"/>
  <c r="D103" i="7"/>
  <c r="G102" i="7"/>
  <c r="F102" i="7"/>
  <c r="E102" i="7"/>
  <c r="D102" i="7"/>
  <c r="G101" i="7"/>
  <c r="F101" i="7"/>
  <c r="E101" i="7"/>
  <c r="D101" i="7"/>
  <c r="G100" i="7"/>
  <c r="F100" i="7"/>
  <c r="E100" i="7"/>
  <c r="D100" i="7"/>
  <c r="G99" i="7"/>
  <c r="F99" i="7"/>
  <c r="E99" i="7"/>
  <c r="D99" i="7"/>
  <c r="G98" i="7"/>
  <c r="F98" i="7"/>
  <c r="E98" i="7"/>
  <c r="D98" i="7"/>
  <c r="G97" i="7"/>
  <c r="F97" i="7"/>
  <c r="E97" i="7"/>
  <c r="D97" i="7"/>
  <c r="G96" i="7"/>
  <c r="F96" i="7"/>
  <c r="E96" i="7"/>
  <c r="D96" i="7"/>
  <c r="G95" i="7"/>
  <c r="F95" i="7"/>
  <c r="E95" i="7"/>
  <c r="D95" i="7"/>
  <c r="G94" i="7"/>
  <c r="F94" i="7"/>
  <c r="E94" i="7"/>
  <c r="D94" i="7"/>
  <c r="G93" i="7"/>
  <c r="F93" i="7"/>
  <c r="E93" i="7"/>
  <c r="D93" i="7"/>
  <c r="G92" i="7"/>
  <c r="F92" i="7"/>
  <c r="E92" i="7"/>
  <c r="D92" i="7"/>
  <c r="G91" i="7"/>
  <c r="F91" i="7"/>
  <c r="E91" i="7"/>
  <c r="D91" i="7"/>
  <c r="G90" i="7"/>
  <c r="F90" i="7"/>
  <c r="E90" i="7"/>
  <c r="D90" i="7"/>
  <c r="G89" i="7"/>
  <c r="F89" i="7"/>
  <c r="E89" i="7"/>
  <c r="D89" i="7"/>
  <c r="G88" i="7"/>
  <c r="F88" i="7"/>
  <c r="E88" i="7"/>
  <c r="D88" i="7"/>
  <c r="G87" i="7"/>
  <c r="F87" i="7"/>
  <c r="E87" i="7"/>
  <c r="D87" i="7"/>
  <c r="G86" i="7"/>
  <c r="F86" i="7"/>
  <c r="E86" i="7"/>
  <c r="D86" i="7"/>
  <c r="G85" i="7"/>
  <c r="F85" i="7"/>
  <c r="E85" i="7"/>
  <c r="D85" i="7"/>
  <c r="G84" i="7"/>
  <c r="F84" i="7"/>
  <c r="E84" i="7"/>
  <c r="D84" i="7"/>
  <c r="G83" i="7"/>
  <c r="F83" i="7"/>
  <c r="E83" i="7"/>
  <c r="D83" i="7"/>
  <c r="G82" i="7"/>
  <c r="F82" i="7"/>
  <c r="E82" i="7"/>
  <c r="D82" i="7"/>
  <c r="G81" i="7"/>
  <c r="F81" i="7"/>
  <c r="E81" i="7"/>
  <c r="D81" i="7"/>
  <c r="G80" i="7"/>
  <c r="F80" i="7"/>
  <c r="E80" i="7"/>
  <c r="D80" i="7"/>
  <c r="G79" i="7"/>
  <c r="F79" i="7"/>
  <c r="E79" i="7"/>
  <c r="D79" i="7"/>
  <c r="G78" i="7"/>
  <c r="F78" i="7"/>
  <c r="E78" i="7"/>
  <c r="D78" i="7"/>
  <c r="G77" i="7"/>
  <c r="F77" i="7"/>
  <c r="E77" i="7"/>
  <c r="D77" i="7"/>
  <c r="G76" i="7"/>
  <c r="F76" i="7"/>
  <c r="E76" i="7"/>
  <c r="D76" i="7"/>
  <c r="G75" i="7"/>
  <c r="F75" i="7"/>
  <c r="E75" i="7"/>
  <c r="D75" i="7"/>
  <c r="G74" i="7"/>
  <c r="F74" i="7"/>
  <c r="E74" i="7"/>
  <c r="D74" i="7"/>
  <c r="G73" i="7"/>
  <c r="F73" i="7"/>
  <c r="E73" i="7"/>
  <c r="D73" i="7"/>
  <c r="G72" i="7"/>
  <c r="F72" i="7"/>
  <c r="E72" i="7"/>
  <c r="D72" i="7"/>
  <c r="G71" i="7"/>
  <c r="F71" i="7"/>
  <c r="E71" i="7"/>
  <c r="D71" i="7"/>
  <c r="G70" i="7"/>
  <c r="F70" i="7"/>
  <c r="E70" i="7"/>
  <c r="D70" i="7"/>
  <c r="G69" i="7"/>
  <c r="F69" i="7"/>
  <c r="E69" i="7"/>
  <c r="D69" i="7"/>
  <c r="G68" i="7"/>
  <c r="F68" i="7"/>
  <c r="E68" i="7"/>
  <c r="D68" i="7"/>
  <c r="G67" i="7"/>
  <c r="F67" i="7"/>
  <c r="E67" i="7"/>
  <c r="D67" i="7"/>
  <c r="G66" i="7"/>
  <c r="F66" i="7"/>
  <c r="E66" i="7"/>
  <c r="D66" i="7"/>
  <c r="G65" i="7"/>
  <c r="F65" i="7"/>
  <c r="E65" i="7"/>
  <c r="D65" i="7"/>
  <c r="G64" i="7"/>
  <c r="F64" i="7"/>
  <c r="E64" i="7"/>
  <c r="D64" i="7"/>
  <c r="G63" i="7"/>
  <c r="F63" i="7"/>
  <c r="E63" i="7"/>
  <c r="D63" i="7"/>
  <c r="G62" i="7"/>
  <c r="F62" i="7"/>
  <c r="E62" i="7"/>
  <c r="D62" i="7"/>
  <c r="G61" i="7"/>
  <c r="F61" i="7"/>
  <c r="E61" i="7"/>
  <c r="D61" i="7"/>
  <c r="G60" i="7"/>
  <c r="F60" i="7"/>
  <c r="E60" i="7"/>
  <c r="D60" i="7"/>
  <c r="G59" i="7"/>
  <c r="F59" i="7"/>
  <c r="E59" i="7"/>
  <c r="D59" i="7"/>
  <c r="G58" i="7"/>
  <c r="F58" i="7"/>
  <c r="E58" i="7"/>
  <c r="D58" i="7"/>
  <c r="G57" i="7"/>
  <c r="F57" i="7"/>
  <c r="E57" i="7"/>
  <c r="D57" i="7"/>
  <c r="G56" i="7"/>
  <c r="F56" i="7"/>
  <c r="E56" i="7"/>
  <c r="D56" i="7"/>
  <c r="G55" i="7"/>
  <c r="F55" i="7"/>
  <c r="E55" i="7"/>
  <c r="D55" i="7"/>
  <c r="G54" i="7"/>
  <c r="F54" i="7"/>
  <c r="E54" i="7"/>
  <c r="D54" i="7"/>
  <c r="G53" i="7"/>
  <c r="F53" i="7"/>
  <c r="E53" i="7"/>
  <c r="D53" i="7"/>
  <c r="G52" i="7"/>
  <c r="F52" i="7"/>
  <c r="E52" i="7"/>
  <c r="D52" i="7"/>
  <c r="G51" i="7"/>
  <c r="F51" i="7"/>
  <c r="E51" i="7"/>
  <c r="D51" i="7"/>
  <c r="G50" i="7"/>
  <c r="F50" i="7"/>
  <c r="E50" i="7"/>
  <c r="D50" i="7"/>
  <c r="G49" i="7"/>
  <c r="F49" i="7"/>
  <c r="E49" i="7"/>
  <c r="D49" i="7"/>
  <c r="G48" i="7"/>
  <c r="F48" i="7"/>
  <c r="E48" i="7"/>
  <c r="D48" i="7"/>
  <c r="G47" i="7"/>
  <c r="F47" i="7"/>
  <c r="E47" i="7"/>
  <c r="D47" i="7"/>
  <c r="G46" i="7"/>
  <c r="F46" i="7"/>
  <c r="E46" i="7"/>
  <c r="D46" i="7"/>
  <c r="G45" i="7"/>
  <c r="F45" i="7"/>
  <c r="E45" i="7"/>
  <c r="D45" i="7"/>
  <c r="G44" i="7"/>
  <c r="F44" i="7"/>
  <c r="E44" i="7"/>
  <c r="D44" i="7"/>
  <c r="G43" i="7"/>
  <c r="F43" i="7"/>
  <c r="E43" i="7"/>
  <c r="D43" i="7"/>
  <c r="G42" i="7"/>
  <c r="F42" i="7"/>
  <c r="E42" i="7"/>
  <c r="D42" i="7"/>
  <c r="G41" i="7"/>
  <c r="F41" i="7"/>
  <c r="E41" i="7"/>
  <c r="D41" i="7"/>
  <c r="G40" i="7"/>
  <c r="F40" i="7"/>
  <c r="E40" i="7"/>
  <c r="D40" i="7"/>
  <c r="G39" i="7"/>
  <c r="F39" i="7"/>
  <c r="E39" i="7"/>
  <c r="D39" i="7"/>
  <c r="G38" i="7"/>
  <c r="F38" i="7"/>
  <c r="E38" i="7"/>
  <c r="D38" i="7"/>
  <c r="G37" i="7"/>
  <c r="F37" i="7"/>
  <c r="E37" i="7"/>
  <c r="D37" i="7"/>
  <c r="G36" i="7"/>
  <c r="F36" i="7"/>
  <c r="E36" i="7"/>
  <c r="D36" i="7"/>
  <c r="G35" i="7"/>
  <c r="F35" i="7"/>
  <c r="E35" i="7"/>
  <c r="D35" i="7"/>
  <c r="G34" i="7"/>
  <c r="F34" i="7"/>
  <c r="E34" i="7"/>
  <c r="D34" i="7"/>
  <c r="G33" i="7"/>
  <c r="F33" i="7"/>
  <c r="E33" i="7"/>
  <c r="D33" i="7"/>
  <c r="G32" i="7"/>
  <c r="F32" i="7"/>
  <c r="E32" i="7"/>
  <c r="D32" i="7"/>
  <c r="G31" i="7"/>
  <c r="F31" i="7"/>
  <c r="E31" i="7"/>
  <c r="D31" i="7"/>
  <c r="G30" i="7"/>
  <c r="F30" i="7"/>
  <c r="E30" i="7"/>
  <c r="D30" i="7"/>
  <c r="G29" i="7"/>
  <c r="F29" i="7"/>
  <c r="E29" i="7"/>
  <c r="D29" i="7"/>
  <c r="G28" i="7"/>
  <c r="F28" i="7"/>
  <c r="E28" i="7"/>
  <c r="D28" i="7"/>
  <c r="G27" i="7"/>
  <c r="F27" i="7"/>
  <c r="E27" i="7"/>
  <c r="D27" i="7"/>
  <c r="G26" i="7"/>
  <c r="F26" i="7"/>
  <c r="E26" i="7"/>
  <c r="D26" i="7"/>
  <c r="G25" i="7"/>
  <c r="F25" i="7"/>
  <c r="E25" i="7"/>
  <c r="D25" i="7"/>
  <c r="G24" i="7"/>
  <c r="F24" i="7"/>
  <c r="E24" i="7"/>
  <c r="D24" i="7"/>
  <c r="G23" i="7"/>
  <c r="F23" i="7"/>
  <c r="E23" i="7"/>
  <c r="D23" i="7"/>
  <c r="G22" i="7"/>
  <c r="F22" i="7"/>
  <c r="E22" i="7"/>
  <c r="D22" i="7"/>
  <c r="G21" i="7"/>
  <c r="F21" i="7"/>
  <c r="E21" i="7"/>
  <c r="D21" i="7"/>
  <c r="G20" i="7"/>
  <c r="F20" i="7"/>
  <c r="E20" i="7"/>
  <c r="D20" i="7"/>
  <c r="P19" i="7"/>
  <c r="G19" i="7"/>
  <c r="F19" i="7"/>
  <c r="E19" i="7"/>
  <c r="D19" i="7"/>
  <c r="G18" i="7"/>
  <c r="F18" i="7"/>
  <c r="E18" i="7"/>
  <c r="D18" i="7"/>
  <c r="P17" i="7"/>
  <c r="G17" i="7"/>
  <c r="F17" i="7"/>
  <c r="E17" i="7"/>
  <c r="D17" i="7"/>
  <c r="G16" i="7"/>
  <c r="F16" i="7"/>
  <c r="E16" i="7"/>
  <c r="D16" i="7"/>
  <c r="P15" i="7"/>
  <c r="G15" i="7"/>
  <c r="F15" i="7"/>
  <c r="E15" i="7"/>
  <c r="D15" i="7"/>
  <c r="G14" i="7"/>
  <c r="F14" i="7"/>
  <c r="E14" i="7"/>
  <c r="D14" i="7"/>
  <c r="G13" i="7"/>
  <c r="F13" i="7"/>
  <c r="E13" i="7"/>
  <c r="D13" i="7"/>
  <c r="G12" i="7"/>
  <c r="F12" i="7"/>
  <c r="E12" i="7"/>
  <c r="D12" i="7"/>
  <c r="P11" i="7"/>
  <c r="G11" i="7"/>
  <c r="F11" i="7"/>
  <c r="E11" i="7"/>
  <c r="D11" i="7"/>
  <c r="G10" i="7"/>
  <c r="F10" i="7"/>
  <c r="E10" i="7"/>
  <c r="D10" i="7"/>
  <c r="P9" i="7"/>
  <c r="G9" i="7"/>
  <c r="F9" i="7"/>
  <c r="E9" i="7"/>
  <c r="D9" i="7"/>
  <c r="G8" i="7"/>
  <c r="F8" i="7"/>
  <c r="E8" i="7"/>
  <c r="D8" i="7"/>
  <c r="P7" i="7"/>
  <c r="G7" i="7"/>
  <c r="F7" i="7"/>
  <c r="E7" i="7"/>
  <c r="D7" i="7"/>
  <c r="G6" i="7"/>
  <c r="F6" i="7"/>
  <c r="E6" i="7"/>
  <c r="D6" i="7"/>
  <c r="P5" i="7"/>
  <c r="G5" i="7"/>
  <c r="F5" i="7"/>
  <c r="E5" i="7"/>
  <c r="D5" i="7"/>
  <c r="G4" i="7"/>
  <c r="F4" i="7"/>
  <c r="E4" i="7"/>
  <c r="D4" i="7"/>
  <c r="P3" i="7"/>
  <c r="G3" i="7"/>
  <c r="F3" i="7"/>
  <c r="E3" i="7"/>
  <c r="D3" i="7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L32" i="5"/>
  <c r="C32" i="5"/>
  <c r="B32" i="5"/>
  <c r="C31" i="5"/>
  <c r="B31" i="5"/>
  <c r="C30" i="5"/>
  <c r="B30" i="5"/>
  <c r="J29" i="5"/>
  <c r="C29" i="5"/>
  <c r="B29" i="5"/>
  <c r="J28" i="5"/>
  <c r="C28" i="5"/>
  <c r="B28" i="5"/>
  <c r="J27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S20" i="5"/>
  <c r="R20" i="5"/>
  <c r="Q20" i="5"/>
  <c r="P20" i="5"/>
  <c r="O20" i="5"/>
  <c r="N20" i="5"/>
  <c r="M20" i="5"/>
  <c r="L20" i="5"/>
  <c r="K20" i="5"/>
  <c r="J20" i="5"/>
  <c r="I20" i="5"/>
  <c r="H20" i="5"/>
  <c r="C20" i="5"/>
  <c r="B20" i="5"/>
  <c r="C19" i="5"/>
  <c r="B19" i="5"/>
  <c r="AE18" i="5"/>
  <c r="AD18" i="5"/>
  <c r="AC18" i="5"/>
  <c r="AB18" i="5"/>
  <c r="AA18" i="5"/>
  <c r="Z18" i="5"/>
  <c r="Y18" i="5"/>
  <c r="X18" i="5"/>
  <c r="V18" i="5"/>
  <c r="C18" i="5"/>
  <c r="B18" i="5"/>
  <c r="AE17" i="5"/>
  <c r="AD17" i="5"/>
  <c r="AC17" i="5"/>
  <c r="AB17" i="5"/>
  <c r="AA17" i="5"/>
  <c r="Z17" i="5"/>
  <c r="Y17" i="5"/>
  <c r="X17" i="5"/>
  <c r="V17" i="5"/>
  <c r="C17" i="5"/>
  <c r="B17" i="5"/>
  <c r="AE16" i="5"/>
  <c r="AD16" i="5"/>
  <c r="AC16" i="5"/>
  <c r="AB16" i="5"/>
  <c r="AA16" i="5"/>
  <c r="Z16" i="5"/>
  <c r="Y16" i="5"/>
  <c r="X16" i="5"/>
  <c r="V16" i="5"/>
  <c r="C16" i="5"/>
  <c r="B16" i="5"/>
  <c r="AE15" i="5"/>
  <c r="AD15" i="5"/>
  <c r="AC15" i="5"/>
  <c r="AB15" i="5"/>
  <c r="AA15" i="5"/>
  <c r="Z15" i="5"/>
  <c r="Y15" i="5"/>
  <c r="X15" i="5"/>
  <c r="V15" i="5"/>
  <c r="C15" i="5"/>
  <c r="B15" i="5"/>
  <c r="AE14" i="5"/>
  <c r="AD14" i="5"/>
  <c r="AC14" i="5"/>
  <c r="AB14" i="5"/>
  <c r="AA14" i="5"/>
  <c r="Z14" i="5"/>
  <c r="Y14" i="5"/>
  <c r="X14" i="5"/>
  <c r="V14" i="5"/>
  <c r="C14" i="5"/>
  <c r="B14" i="5"/>
  <c r="AE13" i="5"/>
  <c r="AD13" i="5"/>
  <c r="AC13" i="5"/>
  <c r="AB13" i="5"/>
  <c r="AA13" i="5"/>
  <c r="Z13" i="5"/>
  <c r="Y13" i="5"/>
  <c r="X13" i="5"/>
  <c r="V13" i="5"/>
  <c r="C13" i="5"/>
  <c r="B13" i="5"/>
  <c r="AE12" i="5"/>
  <c r="AD12" i="5"/>
  <c r="AC12" i="5"/>
  <c r="AB12" i="5"/>
  <c r="AA12" i="5"/>
  <c r="Z12" i="5"/>
  <c r="Y12" i="5"/>
  <c r="X12" i="5"/>
  <c r="V12" i="5"/>
  <c r="C12" i="5"/>
  <c r="B12" i="5"/>
  <c r="AE11" i="5"/>
  <c r="AD11" i="5"/>
  <c r="AC11" i="5"/>
  <c r="AB11" i="5"/>
  <c r="AA11" i="5"/>
  <c r="Z11" i="5"/>
  <c r="Y11" i="5"/>
  <c r="X11" i="5"/>
  <c r="V11" i="5"/>
  <c r="C11" i="5"/>
  <c r="B11" i="5"/>
  <c r="AE10" i="5"/>
  <c r="AD10" i="5"/>
  <c r="AC10" i="5"/>
  <c r="AB10" i="5"/>
  <c r="AA10" i="5"/>
  <c r="Z10" i="5"/>
  <c r="Y10" i="5"/>
  <c r="X10" i="5"/>
  <c r="V10" i="5"/>
  <c r="C10" i="5"/>
  <c r="B10" i="5"/>
  <c r="AE9" i="5"/>
  <c r="AD9" i="5"/>
  <c r="AC9" i="5"/>
  <c r="AB9" i="5"/>
  <c r="AA9" i="5"/>
  <c r="Z9" i="5"/>
  <c r="Y9" i="5"/>
  <c r="X9" i="5"/>
  <c r="V9" i="5"/>
  <c r="C9" i="5"/>
  <c r="B9" i="5"/>
  <c r="AE8" i="5"/>
  <c r="AD8" i="5"/>
  <c r="AC8" i="5"/>
  <c r="AB8" i="5"/>
  <c r="AA8" i="5"/>
  <c r="Z8" i="5"/>
  <c r="Y8" i="5"/>
  <c r="X8" i="5"/>
  <c r="V8" i="5"/>
  <c r="C8" i="5"/>
  <c r="B8" i="5"/>
  <c r="AE7" i="5"/>
  <c r="AD7" i="5"/>
  <c r="AC7" i="5"/>
  <c r="AB7" i="5"/>
  <c r="AA7" i="5"/>
  <c r="Z7" i="5"/>
  <c r="Y7" i="5"/>
  <c r="X7" i="5"/>
  <c r="V7" i="5"/>
  <c r="C7" i="5"/>
  <c r="B7" i="5"/>
  <c r="AE6" i="5"/>
  <c r="AD6" i="5"/>
  <c r="AC6" i="5"/>
  <c r="AB6" i="5"/>
  <c r="AA6" i="5"/>
  <c r="Z6" i="5"/>
  <c r="Y6" i="5"/>
  <c r="X6" i="5"/>
  <c r="V6" i="5"/>
  <c r="C6" i="5"/>
  <c r="B6" i="5"/>
  <c r="AE5" i="5"/>
  <c r="AD5" i="5"/>
  <c r="AC5" i="5"/>
  <c r="AB5" i="5"/>
  <c r="AA5" i="5"/>
  <c r="Z5" i="5"/>
  <c r="Y5" i="5"/>
  <c r="X5" i="5"/>
  <c r="V5" i="5"/>
  <c r="C5" i="5"/>
  <c r="B5" i="5"/>
  <c r="AE4" i="5"/>
  <c r="AD4" i="5"/>
  <c r="AC4" i="5"/>
  <c r="AB4" i="5"/>
  <c r="AA4" i="5"/>
  <c r="Z4" i="5"/>
  <c r="Y4" i="5"/>
  <c r="X4" i="5"/>
  <c r="C4" i="5"/>
  <c r="B4" i="5"/>
  <c r="C3" i="5"/>
  <c r="B3" i="5"/>
  <c r="C2" i="5"/>
  <c r="B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ED862-ECA8-40E1-A30B-14DA97C3982F}" keepAlive="1" name="Requête - dataset_2025-11-17T12_59_12 145465537Z_DEFAULT_INTEGRATION_IMF RES_PCPS_9 0 0" description="Connexion à la requête « dataset_2025-11-17T12_59_12 145465537Z_DEFAULT_INTEGRATION_IMF RES_PCPS_9 0 0 » dans le classeur." type="5" refreshedVersion="0" background="1">
    <dbPr connection="Provider=Microsoft.Mashup.OleDb.1;Data Source=$Workbook$;Location=&quot;dataset_2025-11-17T12_59_12 145465537Z_DEFAULT_INTEGRATION_IMF RES_PCPS_9 0 0&quot;;Extended Properties=&quot;&quot;" command="SELECT * FROM [dataset_2025-11-17T12_59_12 145465537Z_DEFAULT_INTEGRATION_IMF RES_PCPS_9 0 0]"/>
  </connection>
  <connection id="2" xr16:uid="{E5795CF8-7B78-4B30-9A83-30207C7B3AA7}" keepAlive="1" name="Requête - dataset_2025-11-17T13_04_09 582711671Z_DEFAULT_INTEGRATION_IMF RES_PCPS_9 0 0" description="Connexion à la requête « dataset_2025-11-17T13_04_09 582711671Z_DEFAULT_INTEGRATION_IMF RES_PCPS_9 0 0 » dans le classeur." type="5" refreshedVersion="8" background="1" saveData="1">
    <dbPr connection="Provider=Microsoft.Mashup.OleDb.1;Data Source=$Workbook$;Location=&quot;dataset_2025-11-17T13_04_09 582711671Z_DEFAULT_INTEGRATION_IMF RES_PCPS_9 0 0&quot;;Extended Properties=&quot;&quot;" command="SELECT * FROM [dataset_2025-11-17T13_04_09 582711671Z_DEFAULT_INTEGRATION_IMF RES_PCPS_9 0 0]"/>
  </connection>
  <connection id="3" xr16:uid="{D6794A07-AF0B-433C-8B1E-CE28935CE376}" keepAlive="1" name="Requête - dataset_2025-11-17T13_30_33 170025752Z_DEFAULT_INTEGRATION_IMF RES_PCPS_9 0 0" description="Connexion à la requête « dataset_2025-11-17T13_30_33 170025752Z_DEFAULT_INTEGRATION_IMF RES_PCPS_9 0 0 » dans le classeur." type="5" refreshedVersion="7" background="1" saveData="1">
    <dbPr connection="Provider=Microsoft.Mashup.OleDb.1;Data Source=$Workbook$;Location=&quot;dataset_2025-11-17T13_30_33 170025752Z_DEFAULT_INTEGRATION_IMF RES_PCPS_9 0 0&quot;;Extended Properties=&quot;&quot;" command="SELECT * FROM [dataset_2025-11-17T13_30_33 170025752Z_DEFAULT_INTEGRATION_IMF RES_PCPS_9 0 0]"/>
  </connection>
</connections>
</file>

<file path=xl/sharedStrings.xml><?xml version="1.0" encoding="utf-8"?>
<sst xmlns="http://schemas.openxmlformats.org/spreadsheetml/2006/main" count="2306" uniqueCount="532">
  <si>
    <t>TIME_PERIOD</t>
  </si>
  <si>
    <t>Yt</t>
  </si>
  <si>
    <t>t</t>
  </si>
  <si>
    <t>1992-M01</t>
  </si>
  <si>
    <t>1992-M02</t>
  </si>
  <si>
    <t>1992-M03</t>
  </si>
  <si>
    <t>1992-M04</t>
  </si>
  <si>
    <t>1992-M05</t>
  </si>
  <si>
    <t>1992-M06</t>
  </si>
  <si>
    <t>1992-M07</t>
  </si>
  <si>
    <t>1992-M08</t>
  </si>
  <si>
    <t>1992-M09</t>
  </si>
  <si>
    <t>1992-M10</t>
  </si>
  <si>
    <t>1992-M11</t>
  </si>
  <si>
    <t>1992-M12</t>
  </si>
  <si>
    <t>1993-M01</t>
  </si>
  <si>
    <t>1993-M02</t>
  </si>
  <si>
    <t>1993-M03</t>
  </si>
  <si>
    <t>1993-M04</t>
  </si>
  <si>
    <t>1993-M05</t>
  </si>
  <si>
    <t>1993-M06</t>
  </si>
  <si>
    <t>1993-M07</t>
  </si>
  <si>
    <t>1993-M08</t>
  </si>
  <si>
    <t>1993-M09</t>
  </si>
  <si>
    <t>1993-M10</t>
  </si>
  <si>
    <t>1993-M11</t>
  </si>
  <si>
    <t>1993-M12</t>
  </si>
  <si>
    <t>1994-M01</t>
  </si>
  <si>
    <t>1994-M02</t>
  </si>
  <si>
    <t>1994-M03</t>
  </si>
  <si>
    <t>1994-M04</t>
  </si>
  <si>
    <t>1994-M05</t>
  </si>
  <si>
    <t>1994-M06</t>
  </si>
  <si>
    <t>1994-M07</t>
  </si>
  <si>
    <t>1994-M08</t>
  </si>
  <si>
    <t>1994-M09</t>
  </si>
  <si>
    <t>1994-M10</t>
  </si>
  <si>
    <t>1994-M11</t>
  </si>
  <si>
    <t>1994-M12</t>
  </si>
  <si>
    <t>1995-M01</t>
  </si>
  <si>
    <t>1995-M02</t>
  </si>
  <si>
    <t>1995-M03</t>
  </si>
  <si>
    <t>1995-M04</t>
  </si>
  <si>
    <t>1995-M05</t>
  </si>
  <si>
    <t>1995-M06</t>
  </si>
  <si>
    <t>1995-M07</t>
  </si>
  <si>
    <t>1995-M08</t>
  </si>
  <si>
    <t>1995-M09</t>
  </si>
  <si>
    <t>1995-M10</t>
  </si>
  <si>
    <t>1995-M11</t>
  </si>
  <si>
    <t>1995-M12</t>
  </si>
  <si>
    <t>1996-M01</t>
  </si>
  <si>
    <t>1996-M02</t>
  </si>
  <si>
    <t>1996-M03</t>
  </si>
  <si>
    <t>1996-M04</t>
  </si>
  <si>
    <t>1996-M05</t>
  </si>
  <si>
    <t>1996-M06</t>
  </si>
  <si>
    <t>1996-M07</t>
  </si>
  <si>
    <t>1996-M08</t>
  </si>
  <si>
    <t>1996-M09</t>
  </si>
  <si>
    <t>1996-M10</t>
  </si>
  <si>
    <t>1996-M11</t>
  </si>
  <si>
    <t>1996-M12</t>
  </si>
  <si>
    <t>1997-M01</t>
  </si>
  <si>
    <t>1997-M02</t>
  </si>
  <si>
    <t>1997-M03</t>
  </si>
  <si>
    <t>1997-M04</t>
  </si>
  <si>
    <t>1997-M05</t>
  </si>
  <si>
    <t>1997-M06</t>
  </si>
  <si>
    <t>1997-M07</t>
  </si>
  <si>
    <t>1997-M08</t>
  </si>
  <si>
    <t>1997-M09</t>
  </si>
  <si>
    <t>1997-M10</t>
  </si>
  <si>
    <t>1997-M11</t>
  </si>
  <si>
    <t>1997-M12</t>
  </si>
  <si>
    <t>1998-M01</t>
  </si>
  <si>
    <t>1998-M02</t>
  </si>
  <si>
    <t>1998-M03</t>
  </si>
  <si>
    <t>1998-M04</t>
  </si>
  <si>
    <t>1998-M05</t>
  </si>
  <si>
    <t>1998-M06</t>
  </si>
  <si>
    <t>1998-M07</t>
  </si>
  <si>
    <t>1998-M08</t>
  </si>
  <si>
    <t>1998-M09</t>
  </si>
  <si>
    <t>1998-M10</t>
  </si>
  <si>
    <t>1998-M11</t>
  </si>
  <si>
    <t>1998-M12</t>
  </si>
  <si>
    <t>1999-M01</t>
  </si>
  <si>
    <t>1999-M02</t>
  </si>
  <si>
    <t>1999-M03</t>
  </si>
  <si>
    <t>1999-M04</t>
  </si>
  <si>
    <t>1999-M05</t>
  </si>
  <si>
    <t>1999-M06</t>
  </si>
  <si>
    <t>1999-M07</t>
  </si>
  <si>
    <t>1999-M08</t>
  </si>
  <si>
    <t>1999-M09</t>
  </si>
  <si>
    <t>1999-M10</t>
  </si>
  <si>
    <t>1999-M11</t>
  </si>
  <si>
    <t>1999-M12</t>
  </si>
  <si>
    <t>2000-M01</t>
  </si>
  <si>
    <t>2000-M02</t>
  </si>
  <si>
    <t>2000-M03</t>
  </si>
  <si>
    <t>2000-M04</t>
  </si>
  <si>
    <t>2000-M05</t>
  </si>
  <si>
    <t>2000-M06</t>
  </si>
  <si>
    <t>2000-M07</t>
  </si>
  <si>
    <t>2000-M08</t>
  </si>
  <si>
    <t>2000-M09</t>
  </si>
  <si>
    <t>2000-M10</t>
  </si>
  <si>
    <t>2000-M11</t>
  </si>
  <si>
    <t>2000-M12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</si>
  <si>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</si>
  <si>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</si>
  <si>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</si>
  <si>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</si>
  <si>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</si>
  <si>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</si>
  <si>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</si>
  <si>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</si>
  <si>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</si>
  <si>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</si>
  <si>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</si>
  <si>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</si>
  <si>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</si>
  <si>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</si>
  <si>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</si>
  <si>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</si>
  <si>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</si>
  <si>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</si>
  <si>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</si>
  <si>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</si>
  <si>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</si>
  <si>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</si>
  <si>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</si>
  <si>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</si>
  <si>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</si>
  <si>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</si>
  <si>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</si>
  <si>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</si>
  <si>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</si>
  <si>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</si>
  <si>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</si>
  <si>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</si>
  <si>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</si>
  <si>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</si>
  <si>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</si>
  <si>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</si>
  <si>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</si>
  <si>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</si>
  <si>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</si>
  <si>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</si>
  <si>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</si>
  <si>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</si>
  <si>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</si>
  <si>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</si>
  <si>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</si>
  <si>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</si>
  <si>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</si>
  <si>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</si>
  <si>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</si>
  <si>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</si>
  <si>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</si>
  <si>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</si>
  <si>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</si>
  <si>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</si>
  <si>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</si>
  <si>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</si>
  <si>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</si>
  <si>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</si>
  <si>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</si>
  <si>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</si>
  <si>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</si>
  <si>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</si>
  <si>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</si>
  <si>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</si>
  <si>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</si>
  <si>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</si>
  <si>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</si>
  <si>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</si>
  <si>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</si>
  <si>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</si>
  <si>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</si>
  <si>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</si>
  <si>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</si>
  <si>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</si>
  <si>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</si>
  <si>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</si>
  <si>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</si>
  <si>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</si>
  <si>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</si>
  <si>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</si>
  <si>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</si>
  <si>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</si>
  <si>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</si>
  <si>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</si>
  <si>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</si>
  <si>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</si>
  <si>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</si>
  <si>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</si>
  <si>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</si>
  <si>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</si>
  <si>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</si>
  <si>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</si>
  <si>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</si>
  <si>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</si>
  <si>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</si>
  <si>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</si>
  <si>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</si>
  <si>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</si>
  <si>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</si>
  <si>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</si>
  <si>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</si>
  <si>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</si>
  <si>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</si>
  <si>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</si>
  <si>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</si>
  <si>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</si>
  <si>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</si>
  <si>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</si>
  <si>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</si>
  <si>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</si>
  <si>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</si>
  <si>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</si>
  <si>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</si>
  <si>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</si>
  <si>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</si>
  <si>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</si>
  <si>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</si>
  <si>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</si>
  <si>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</si>
  <si>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</si>
  <si>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</si>
  <si>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</si>
  <si>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</si>
  <si>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</si>
  <si>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</si>
  <si>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</si>
  <si>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</si>
  <si>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</si>
  <si>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</si>
  <si>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</si>
  <si>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</si>
  <si>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</si>
  <si>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</si>
  <si>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</si>
  <si>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</si>
  <si>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</si>
  <si>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</si>
  <si>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</si>
  <si>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</si>
  <si>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</si>
  <si>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</si>
  <si>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</si>
  <si>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</si>
  <si>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</si>
  <si>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</si>
  <si>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</si>
  <si>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</si>
  <si>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</si>
  <si>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</si>
  <si>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</si>
  <si>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</si>
  <si>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</si>
  <si>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</si>
  <si>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</si>
  <si>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</si>
  <si>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</si>
  <si>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</si>
  <si>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</si>
  <si>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</si>
  <si>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</si>
  <si>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</si>
  <si>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</si>
  <si>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</si>
  <si>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</si>
  <si>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</si>
  <si>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</si>
  <si>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</si>
  <si>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</si>
  <si>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</si>
  <si>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</si>
  <si>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</si>
  <si>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</si>
  <si>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</si>
  <si>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</si>
  <si>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</si>
  <si>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</si>
  <si>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</si>
  <si>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</si>
  <si>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</si>
  <si>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</si>
  <si>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</si>
  <si>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</si>
  <si>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</si>
  <si>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</si>
  <si>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</si>
  <si>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</si>
  <si>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</si>
  <si>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</si>
  <si>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</si>
  <si>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</si>
  <si>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</si>
  <si>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</si>
  <si>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</si>
  <si>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</si>
  <si>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</si>
  <si>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</si>
  <si>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</si>
  <si>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</si>
  <si>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</si>
  <si>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</si>
  <si>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</si>
  <si>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</si>
  <si>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</si>
  <si>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</si>
  <si>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</si>
  <si>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</si>
  <si>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</si>
  <si>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</si>
  <si>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</si>
  <si>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</si>
  <si>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</si>
  <si>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</si>
  <si>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</si>
  <si>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</si>
  <si>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</si>
  <si>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</si>
  <si>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</si>
  <si>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</si>
  <si>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</si>
  <si>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</si>
  <si>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</si>
  <si>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</si>
  <si>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</si>
  <si>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</si>
  <si>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</si>
  <si>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</si>
  <si>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</si>
  <si>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</si>
  <si>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</si>
  <si>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</si>
  <si>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</si>
  <si>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</si>
  <si>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</si>
  <si>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</si>
  <si>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</si>
  <si>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</si>
  <si>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</si>
  <si>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</si>
  <si>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</si>
  <si>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</si>
  <si>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</si>
  <si>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</si>
  <si>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</si>
  <si>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</si>
  <si>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</si>
  <si>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</si>
  <si>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</si>
  <si>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</si>
  <si>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</si>
  <si>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</si>
  <si>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</si>
  <si>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</si>
  <si>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</si>
  <si>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</si>
  <si>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</si>
  <si>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</si>
  <si>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</si>
  <si>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</si>
  <si>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</si>
  <si>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</si>
  <si>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</si>
  <si>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</si>
  <si>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</si>
  <si>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</si>
  <si>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</si>
  <si>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</si>
  <si>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</si>
  <si>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</si>
  <si>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</si>
  <si>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</si>
  <si>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</si>
  <si>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</si>
  <si>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</si>
  <si>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</si>
  <si>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</si>
  <si>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</si>
  <si>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</si>
  <si>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</si>
  <si>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</si>
  <si>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</si>
  <si>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</si>
  <si>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</si>
  <si>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</si>
  <si>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</si>
  <si>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</si>
  <si>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</si>
  <si>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</si>
  <si>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</si>
  <si>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</si>
  <si>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</si>
  <si>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</si>
  <si>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</si>
  <si>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</si>
  <si>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</si>
  <si>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</si>
  <si>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</si>
  <si>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</si>
  <si>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</si>
  <si>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Années</t>
  </si>
  <si>
    <t>Mois</t>
  </si>
  <si>
    <t>Somme de Yt</t>
  </si>
  <si>
    <t>Total général</t>
  </si>
  <si>
    <t>Moyenne générale</t>
  </si>
  <si>
    <t>Taux de croissance annuel</t>
  </si>
  <si>
    <t>Min</t>
  </si>
  <si>
    <t>Q1</t>
  </si>
  <si>
    <t>Me</t>
  </si>
  <si>
    <t>Q3</t>
  </si>
  <si>
    <t>Max</t>
  </si>
  <si>
    <t>Ecart-type</t>
  </si>
  <si>
    <t>Ecart-interquartile à la médiane</t>
  </si>
  <si>
    <t>CV</t>
  </si>
  <si>
    <t>Coefficients saisonniers St</t>
  </si>
  <si>
    <t>La valeur max a été observée en 2024 et la plus basse en 2017.</t>
  </si>
  <si>
    <t xml:space="preserve">La moyenne mensuel s'élève à </t>
  </si>
  <si>
    <t xml:space="preserve">L'écart-type ressort autour de </t>
  </si>
  <si>
    <t> </t>
  </si>
  <si>
    <t xml:space="preserve">Le coefficient de variation vaut </t>
  </si>
  <si>
    <t>La série semble relativement peu dispersée autour de sa moyenne  (0,34&lt;0,5)</t>
  </si>
  <si>
    <t xml:space="preserve">Taux de croissance mensuel moyen sur l'ensemble de la période </t>
  </si>
  <si>
    <t>L'uranium a connu une croissance entre 2011 et 2025(+3,04%). En d'autres termes, il a été multiplié par 1,03.</t>
  </si>
  <si>
    <t>Série ajustée par seule la tendance linéaire (y^)</t>
  </si>
  <si>
    <t>Contributions à SR</t>
  </si>
  <si>
    <t xml:space="preserve">Contributions à ST </t>
  </si>
  <si>
    <t>Contributions à SM</t>
  </si>
  <si>
    <r>
      <rPr>
        <sz val="10"/>
        <color rgb="FFFF0000"/>
        <rFont val="Arial"/>
      </rPr>
      <t xml:space="preserve">ft=at+b =y^= </t>
    </r>
    <r>
      <rPr>
        <b/>
        <sz val="10"/>
        <color rgb="FFFF0000"/>
        <rFont val="Arial"/>
      </rPr>
      <t>0,05</t>
    </r>
    <r>
      <rPr>
        <sz val="10"/>
        <color rgb="FFFF0000"/>
        <rFont val="Arial"/>
      </rPr>
      <t>*t+</t>
    </r>
    <r>
      <rPr>
        <b/>
        <sz val="10"/>
        <color rgb="FF4EA72E"/>
        <rFont val="Arial"/>
      </rPr>
      <t>34,06</t>
    </r>
  </si>
  <si>
    <t>et^2=( y-y^) au carré</t>
  </si>
  <si>
    <t>(yt-ybar)^2</t>
  </si>
  <si>
    <t>(yt^-ybar)^2</t>
  </si>
  <si>
    <t>a (pente)</t>
  </si>
  <si>
    <t xml:space="preserve">b (ordonnée à l'origine) </t>
  </si>
  <si>
    <t>COV(t,Y) =</t>
  </si>
  <si>
    <t>tbar = moy t</t>
  </si>
  <si>
    <t>ybar = moy Y</t>
  </si>
  <si>
    <t>Equation de la tendance sous ajustement linéaire :</t>
  </si>
  <si>
    <t>y=0,059t + 34,06</t>
  </si>
  <si>
    <t>Var(Y) =</t>
  </si>
  <si>
    <t>Var(t) =</t>
  </si>
  <si>
    <t>R²</t>
  </si>
  <si>
    <t>SR</t>
  </si>
  <si>
    <t xml:space="preserve">ST = </t>
  </si>
  <si>
    <t>SM</t>
  </si>
  <si>
    <t>R2</t>
  </si>
  <si>
    <t>t²</t>
  </si>
  <si>
    <t>ft quadratique</t>
  </si>
  <si>
    <t>(Yt-ybar)^2</t>
  </si>
  <si>
    <t>COV(t²,Y) =</t>
  </si>
  <si>
    <t>tbar² = moy t</t>
  </si>
  <si>
    <t>y=0,00064t + 32,532</t>
  </si>
  <si>
    <t>Var(t²) =</t>
  </si>
  <si>
    <t>Variable modifiée, Z</t>
  </si>
  <si>
    <t>Série ajustée par la tendance linéaire (z^)</t>
  </si>
  <si>
    <t>Série ajustée par la tendance exponentielle (y^)</t>
  </si>
  <si>
    <t>Contributions à SR (modèle exponentiel)</t>
  </si>
  <si>
    <t>Contributions à ST</t>
  </si>
  <si>
    <t>Zt =ln(Y)</t>
  </si>
  <si>
    <r>
      <t>zt^=lnd+ct=</t>
    </r>
    <r>
      <rPr>
        <b/>
        <sz val="10"/>
        <color rgb="FFFF0000"/>
        <rFont val="Arial"/>
        <family val="2"/>
      </rPr>
      <t>0,0035*t</t>
    </r>
    <r>
      <rPr>
        <sz val="10"/>
        <rFont val="Arial"/>
        <family val="2"/>
      </rPr>
      <t>+</t>
    </r>
    <r>
      <rPr>
        <b/>
        <sz val="10"/>
        <color rgb="FF0070C0"/>
        <rFont val="Arial"/>
        <family val="2"/>
      </rPr>
      <t>4</t>
    </r>
  </si>
  <si>
    <r>
      <t>y^=</t>
    </r>
    <r>
      <rPr>
        <b/>
        <sz val="10"/>
        <color rgb="FF00B050"/>
        <rFont val="Arial"/>
        <family val="2"/>
      </rPr>
      <t>54,7</t>
    </r>
    <r>
      <rPr>
        <sz val="10"/>
        <rFont val="Arial"/>
        <family val="2"/>
      </rPr>
      <t>*exp(</t>
    </r>
    <r>
      <rPr>
        <b/>
        <sz val="10"/>
        <color rgb="FFFF0000"/>
        <rFont val="Arial"/>
        <family val="2"/>
      </rPr>
      <t>0,0035</t>
    </r>
    <r>
      <rPr>
        <sz val="10"/>
        <rFont val="Arial"/>
        <family val="2"/>
      </rPr>
      <t>*t)</t>
    </r>
  </si>
  <si>
    <t>et^2= (y-y^) au carré</t>
  </si>
  <si>
    <t>(z-zbar)^2</t>
  </si>
  <si>
    <t>(z^-zbar)^2</t>
  </si>
  <si>
    <t>Zbar = moy Y</t>
  </si>
  <si>
    <t>Var(Z) =</t>
  </si>
  <si>
    <t>LES Lissage</t>
  </si>
  <si>
    <t>Simulation de yt selon le poids du passé (constante de lissage)</t>
  </si>
  <si>
    <t>Formule de mise à jour avec initialisation : y^n(1) ou y^(n+1)</t>
  </si>
  <si>
    <t>Poids Faible</t>
  </si>
  <si>
    <t>Poids Moyen</t>
  </si>
  <si>
    <t>Poids Fort</t>
  </si>
  <si>
    <t xml:space="preserve"> a *y^n-1 (1)+(1-a)*yn</t>
  </si>
  <si>
    <t>Contributions à la somme des carrés des erreurs de prévisions</t>
  </si>
  <si>
    <t>Alpha = 0,2</t>
  </si>
  <si>
    <t>Alpha = 0,5</t>
  </si>
  <si>
    <t>Alpha = 0,8</t>
  </si>
  <si>
    <t>Volume Yt</t>
  </si>
  <si>
    <t>Temps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</si>
  <si>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</si>
  <si>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</si>
  <si>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</si>
  <si>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</si>
  <si>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</si>
  <si>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</si>
  <si>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</si>
  <si>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</si>
  <si>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</si>
  <si>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</si>
  <si>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</si>
  <si>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</si>
  <si>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Erreurs de prévisions</t>
  </si>
  <si>
    <t>Série ajustée par la seule tendance</t>
  </si>
  <si>
    <t xml:space="preserve">Composante saisonnière </t>
  </si>
  <si>
    <t>Coefficients saisonniers (moyenne des st pour chaque mois cf TCD)</t>
  </si>
  <si>
    <t>Coefficients corrigés S't</t>
  </si>
  <si>
    <t>Série CVS ou corrigées des variations saisonnières</t>
  </si>
  <si>
    <t xml:space="preserve">Série ajustée finale après recomposition </t>
  </si>
  <si>
    <t>Erreurs de prévision au carré</t>
  </si>
  <si>
    <t>et^2</t>
  </si>
  <si>
    <t xml:space="preserve"> st=yt-ft</t>
  </si>
  <si>
    <t xml:space="preserve"> St</t>
  </si>
  <si>
    <t xml:space="preserve"> S't=St-0 (comme  moy des St nulle)</t>
  </si>
  <si>
    <r>
      <rPr>
        <b/>
        <sz val="10"/>
        <rFont val="Arial"/>
        <family val="2"/>
      </rPr>
      <t xml:space="preserve"> y*=CVS</t>
    </r>
    <r>
      <rPr>
        <sz val="11"/>
        <color theme="1"/>
        <rFont val="Aptos Narrow"/>
        <family val="2"/>
        <scheme val="minor"/>
      </rPr>
      <t xml:space="preserve"> = yt-S't</t>
    </r>
  </si>
  <si>
    <t xml:space="preserve"> y^=ft+S't</t>
  </si>
  <si>
    <t>Moyenne des st</t>
  </si>
  <si>
    <t>Prévisions de la tendance</t>
  </si>
  <si>
    <t>S't</t>
  </si>
  <si>
    <t>Y^t ou Y prédite</t>
  </si>
  <si>
    <t>2025-M11</t>
  </si>
  <si>
    <t>2025-M12</t>
  </si>
  <si>
    <t>2026-M01</t>
  </si>
  <si>
    <t>2026-M02</t>
  </si>
  <si>
    <t>2026-M03</t>
  </si>
  <si>
    <t>2026-M04</t>
  </si>
  <si>
    <t>2026-M05</t>
  </si>
  <si>
    <t>2026-M06</t>
  </si>
  <si>
    <t>2026-M07</t>
  </si>
  <si>
    <t>2026-M08</t>
  </si>
  <si>
    <t>2026-M09</t>
  </si>
  <si>
    <t>2026-M10</t>
  </si>
  <si>
    <t>2026-M11</t>
  </si>
  <si>
    <t>2026-M12</t>
  </si>
  <si>
    <t>Aout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</si>
</sst>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0"/>
      <name val="Arial"/>
    </font>
    <font>
      <b/>
      <sz val="10"/>
      <color rgb="FFFF0000"/>
      <name val="Arial"/>
    </font>
    <font>
      <sz val="10"/>
      <color rgb="FFFF000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4EA72E"/>
      <name val="Arial"/>
    </font>
    <font>
      <b/>
      <sz val="11"/>
      <color rgb="FFFF0000"/>
      <name val="Aptos Narrow"/>
      <family val="2"/>
      <scheme val="minor"/>
    </font>
    <font>
      <b/>
      <sz val="10"/>
      <color rgb="FF0070C0"/>
      <name val="Arial"/>
      <family val="2"/>
    </font>
    <font>
      <b/>
      <sz val="16"/>
      <name val="Garamond"/>
      <family val="1"/>
    </font>
    <font>
      <b/>
      <sz val="10"/>
      <color rgb="FF1F497D"/>
      <name val="Arial"/>
      <family val="2"/>
    </font>
    <font>
      <b/>
      <sz val="10"/>
      <color rgb="FFF79646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4"/>
      <color rgb="FFFF0000"/>
      <name val="Aptos Narrow"/>
      <scheme val="minor"/>
    </font>
    <font>
      <sz val="11"/>
      <name val="Aptos Narrow"/>
      <family val="2"/>
      <scheme val="minor"/>
    </font>
    <font>
      <b/>
      <sz val="14"/>
      <color rgb="FF2E4022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4BD97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0F0A"/>
        <bgColor indexed="64"/>
      </patternFill>
    </fill>
    <fill>
      <patternFill patternType="solid">
        <fgColor rgb="FF57784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2" fontId="0" fillId="0" borderId="0" xfId="0" applyNumberForma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15" fillId="3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16" fillId="0" borderId="0" xfId="0" applyFont="1"/>
    <xf numFmtId="0" fontId="17" fillId="0" borderId="0" xfId="0" applyFont="1"/>
    <xf numFmtId="0" fontId="0" fillId="5" borderId="4" xfId="0" applyFill="1" applyBorder="1"/>
    <xf numFmtId="0" fontId="0" fillId="5" borderId="5" xfId="0" applyFill="1" applyBorder="1"/>
    <xf numFmtId="0" fontId="0" fillId="0" borderId="4" xfId="0" applyBorder="1"/>
    <xf numFmtId="0" fontId="0" fillId="0" borderId="5" xfId="0" applyBorder="1"/>
    <xf numFmtId="0" fontId="18" fillId="4" borderId="6" xfId="0" applyFont="1" applyFill="1" applyBorder="1"/>
    <xf numFmtId="0" fontId="18" fillId="4" borderId="7" xfId="0" applyFont="1" applyFill="1" applyBorder="1"/>
    <xf numFmtId="0" fontId="0" fillId="5" borderId="5" xfId="0" applyFill="1" applyBorder="1" applyAlignment="1">
      <alignment horizontal="left"/>
    </xf>
    <xf numFmtId="0" fontId="11" fillId="6" borderId="0" xfId="0" applyFont="1" applyFill="1" applyAlignment="1">
      <alignment wrapText="1"/>
    </xf>
    <xf numFmtId="0" fontId="11" fillId="6" borderId="0" xfId="0" applyFont="1" applyFill="1"/>
    <xf numFmtId="0" fontId="13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2" fontId="13" fillId="2" borderId="2" xfId="0" applyNumberFormat="1" applyFont="1" applyFill="1" applyBorder="1"/>
    <xf numFmtId="2" fontId="2" fillId="2" borderId="2" xfId="0" applyNumberFormat="1" applyFont="1" applyFill="1" applyBorder="1"/>
    <xf numFmtId="2" fontId="0" fillId="7" borderId="0" xfId="0" applyNumberFormat="1" applyFill="1"/>
    <xf numFmtId="0" fontId="4" fillId="6" borderId="0" xfId="0" applyFont="1" applyFill="1"/>
    <xf numFmtId="2" fontId="19" fillId="0" borderId="0" xfId="0" applyNumberFormat="1" applyFont="1"/>
    <xf numFmtId="0" fontId="0" fillId="0" borderId="8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2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13" xfId="0" applyNumberFormat="1" applyBorder="1"/>
    <xf numFmtId="0" fontId="0" fillId="0" borderId="13" xfId="0" applyBorder="1"/>
    <xf numFmtId="0" fontId="0" fillId="0" borderId="14" xfId="0" applyBorder="1"/>
    <xf numFmtId="0" fontId="19" fillId="0" borderId="0" xfId="0" applyFont="1"/>
    <xf numFmtId="2" fontId="20" fillId="0" borderId="0" xfId="0" applyNumberFormat="1" applyFont="1"/>
    <xf numFmtId="0" fontId="2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8" borderId="0" xfId="0" applyFill="1"/>
    <xf numFmtId="2" fontId="0" fillId="8" borderId="0" xfId="0" applyNumberFormat="1" applyFill="1"/>
    <xf numFmtId="2" fontId="21" fillId="0" borderId="0" xfId="0" applyNumberFormat="1" applyFont="1"/>
    <xf numFmtId="2" fontId="21" fillId="9" borderId="0" xfId="0" applyNumberFormat="1" applyFont="1" applyFill="1"/>
    <xf numFmtId="2" fontId="0" fillId="10" borderId="0" xfId="0" applyNumberFormat="1" applyFill="1"/>
    <xf numFmtId="0" fontId="22" fillId="0" borderId="0" xfId="0" applyFont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23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colors>
    <mruColors>
      <color rgb="FFE40F0A"/>
      <color rgb="FFFA8986"/>
      <color rgb="FF577840"/>
      <color rgb="FFDAA614"/>
      <color rgb="FFB5CC22"/>
      <color rgb="FF2E4022"/>
      <color rgb="FF2596BE"/>
      <color rgb="FF00B40D"/>
      <color rgb="FFBEE02C"/>
      <color rgb="FF3CFF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'dataset 1992-2025'!$B$2:$B$407</c:f>
              <c:numCache>
                <c:formatCode>0.00</c:formatCode>
                <c:ptCount val="406"/>
                <c:pt idx="0">
                  <c:v>8.75</c:v>
                </c:pt>
                <c:pt idx="1">
                  <c:v>7.9</c:v>
                </c:pt>
                <c:pt idx="2">
                  <c:v>7.75</c:v>
                </c:pt>
                <c:pt idx="3">
                  <c:v>7.75</c:v>
                </c:pt>
                <c:pt idx="4">
                  <c:v>7.55</c:v>
                </c:pt>
                <c:pt idx="5">
                  <c:v>7.75</c:v>
                </c:pt>
                <c:pt idx="6">
                  <c:v>7.75</c:v>
                </c:pt>
                <c:pt idx="7">
                  <c:v>8.0500000000000007</c:v>
                </c:pt>
                <c:pt idx="8">
                  <c:v>8.75</c:v>
                </c:pt>
                <c:pt idx="9">
                  <c:v>10.25</c:v>
                </c:pt>
                <c:pt idx="10">
                  <c:v>10.5</c:v>
                </c:pt>
                <c:pt idx="11">
                  <c:v>10</c:v>
                </c:pt>
                <c:pt idx="12">
                  <c:v>9.8000000000000007</c:v>
                </c:pt>
                <c:pt idx="13">
                  <c:v>10.1</c:v>
                </c:pt>
                <c:pt idx="14">
                  <c:v>10.199999999999999</c:v>
                </c:pt>
                <c:pt idx="15">
                  <c:v>10.35</c:v>
                </c:pt>
                <c:pt idx="16">
                  <c:v>10.1</c:v>
                </c:pt>
                <c:pt idx="17">
                  <c:v>10.3</c:v>
                </c:pt>
                <c:pt idx="18">
                  <c:v>9.9</c:v>
                </c:pt>
                <c:pt idx="19">
                  <c:v>10.050000000000001</c:v>
                </c:pt>
                <c:pt idx="20">
                  <c:v>10.199999999999999</c:v>
                </c:pt>
                <c:pt idx="21">
                  <c:v>10.175000000000001</c:v>
                </c:pt>
                <c:pt idx="22">
                  <c:v>9.9</c:v>
                </c:pt>
                <c:pt idx="23">
                  <c:v>9.85</c:v>
                </c:pt>
                <c:pt idx="24">
                  <c:v>9.4499999999999993</c:v>
                </c:pt>
                <c:pt idx="25">
                  <c:v>9.4499999999999993</c:v>
                </c:pt>
                <c:pt idx="26">
                  <c:v>9.3000000000000007</c:v>
                </c:pt>
                <c:pt idx="27">
                  <c:v>9.25</c:v>
                </c:pt>
                <c:pt idx="28">
                  <c:v>9.25</c:v>
                </c:pt>
                <c:pt idx="29">
                  <c:v>9.25</c:v>
                </c:pt>
                <c:pt idx="30">
                  <c:v>9.1</c:v>
                </c:pt>
                <c:pt idx="31">
                  <c:v>9.0500000000000007</c:v>
                </c:pt>
                <c:pt idx="32">
                  <c:v>9.4499999999999993</c:v>
                </c:pt>
                <c:pt idx="33">
                  <c:v>9.5</c:v>
                </c:pt>
                <c:pt idx="34">
                  <c:v>9.6</c:v>
                </c:pt>
                <c:pt idx="35">
                  <c:v>10.4</c:v>
                </c:pt>
                <c:pt idx="36">
                  <c:v>10.775</c:v>
                </c:pt>
                <c:pt idx="37">
                  <c:v>11.15</c:v>
                </c:pt>
                <c:pt idx="38">
                  <c:v>11.8</c:v>
                </c:pt>
                <c:pt idx="39">
                  <c:v>11.85</c:v>
                </c:pt>
                <c:pt idx="40">
                  <c:v>11.9</c:v>
                </c:pt>
                <c:pt idx="41">
                  <c:v>11.7</c:v>
                </c:pt>
                <c:pt idx="42">
                  <c:v>11.7</c:v>
                </c:pt>
                <c:pt idx="43">
                  <c:v>11.7</c:v>
                </c:pt>
                <c:pt idx="44">
                  <c:v>11.85</c:v>
                </c:pt>
                <c:pt idx="45">
                  <c:v>11.85</c:v>
                </c:pt>
                <c:pt idx="46">
                  <c:v>11.85</c:v>
                </c:pt>
                <c:pt idx="47">
                  <c:v>11.85</c:v>
                </c:pt>
                <c:pt idx="48">
                  <c:v>12.2</c:v>
                </c:pt>
                <c:pt idx="49">
                  <c:v>15.75</c:v>
                </c:pt>
                <c:pt idx="50">
                  <c:v>15.75</c:v>
                </c:pt>
                <c:pt idx="51">
                  <c:v>15.987500000000001</c:v>
                </c:pt>
                <c:pt idx="52">
                  <c:v>16.383333333333301</c:v>
                </c:pt>
                <c:pt idx="53">
                  <c:v>16.5</c:v>
                </c:pt>
                <c:pt idx="54">
                  <c:v>16.5</c:v>
                </c:pt>
                <c:pt idx="55">
                  <c:v>16.46</c:v>
                </c:pt>
                <c:pt idx="56">
                  <c:v>16.149999999999999</c:v>
                </c:pt>
                <c:pt idx="57">
                  <c:v>15.74</c:v>
                </c:pt>
                <c:pt idx="58">
                  <c:v>15.07</c:v>
                </c:pt>
                <c:pt idx="59">
                  <c:v>14.762499999999999</c:v>
                </c:pt>
                <c:pt idx="60">
                  <c:v>14.487500000000001</c:v>
                </c:pt>
                <c:pt idx="61">
                  <c:v>13.81</c:v>
                </c:pt>
                <c:pt idx="62">
                  <c:v>13.62</c:v>
                </c:pt>
                <c:pt idx="63">
                  <c:v>12.824999999999999</c:v>
                </c:pt>
                <c:pt idx="64">
                  <c:v>11.827777777777801</c:v>
                </c:pt>
                <c:pt idx="65">
                  <c:v>10.9444444444444</c:v>
                </c:pt>
                <c:pt idx="66">
                  <c:v>10.484999999999999</c:v>
                </c:pt>
                <c:pt idx="67">
                  <c:v>10.3944444444444</c:v>
                </c:pt>
                <c:pt idx="68">
                  <c:v>10.25</c:v>
                </c:pt>
                <c:pt idx="69">
                  <c:v>11.28</c:v>
                </c:pt>
                <c:pt idx="70">
                  <c:v>12.75</c:v>
                </c:pt>
                <c:pt idx="71">
                  <c:v>12.5</c:v>
                </c:pt>
                <c:pt idx="72">
                  <c:v>12.0375</c:v>
                </c:pt>
                <c:pt idx="73">
                  <c:v>11.375</c:v>
                </c:pt>
                <c:pt idx="74">
                  <c:v>10.6625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10.6111111111111</c:v>
                </c:pt>
                <c:pt idx="79">
                  <c:v>10.5</c:v>
                </c:pt>
                <c:pt idx="80">
                  <c:v>10.233333333333301</c:v>
                </c:pt>
                <c:pt idx="81">
                  <c:v>9.6055555555555596</c:v>
                </c:pt>
                <c:pt idx="82">
                  <c:v>8.8833333333333293</c:v>
                </c:pt>
                <c:pt idx="83">
                  <c:v>8.4875000000000007</c:v>
                </c:pt>
                <c:pt idx="84">
                  <c:v>9.0124999999999993</c:v>
                </c:pt>
                <c:pt idx="85">
                  <c:v>9.1999999999999993</c:v>
                </c:pt>
                <c:pt idx="86">
                  <c:v>10.43571429</c:v>
                </c:pt>
                <c:pt idx="87">
                  <c:v>10.85</c:v>
                </c:pt>
                <c:pt idx="88">
                  <c:v>10.725</c:v>
                </c:pt>
                <c:pt idx="89">
                  <c:v>10.55555556</c:v>
                </c:pt>
                <c:pt idx="90">
                  <c:v>10.262499999999999</c:v>
                </c:pt>
                <c:pt idx="91">
                  <c:v>10.114285710000001</c:v>
                </c:pt>
                <c:pt idx="92">
                  <c:v>9.9166666699999997</c:v>
                </c:pt>
                <c:pt idx="93">
                  <c:v>9.7611111099999999</c:v>
                </c:pt>
                <c:pt idx="94">
                  <c:v>9.7125000000000004</c:v>
                </c:pt>
                <c:pt idx="95">
                  <c:v>9.6374999999999993</c:v>
                </c:pt>
                <c:pt idx="96">
                  <c:v>9.5500000000000007</c:v>
                </c:pt>
                <c:pt idx="97">
                  <c:v>9.3937500000000007</c:v>
                </c:pt>
                <c:pt idx="98">
                  <c:v>9.31</c:v>
                </c:pt>
                <c:pt idx="99">
                  <c:v>9.1428571400000003</c:v>
                </c:pt>
                <c:pt idx="100">
                  <c:v>8.5</c:v>
                </c:pt>
                <c:pt idx="101">
                  <c:v>8.2312499999999993</c:v>
                </c:pt>
                <c:pt idx="102">
                  <c:v>8.1</c:v>
                </c:pt>
                <c:pt idx="103">
                  <c:v>7.9571428600000003</c:v>
                </c:pt>
                <c:pt idx="104">
                  <c:v>7.56666667</c:v>
                </c:pt>
                <c:pt idx="105">
                  <c:v>7.4</c:v>
                </c:pt>
                <c:pt idx="106">
                  <c:v>7.1277777799999997</c:v>
                </c:pt>
                <c:pt idx="107">
                  <c:v>7.1357142900000001</c:v>
                </c:pt>
                <c:pt idx="108">
                  <c:v>7.1</c:v>
                </c:pt>
                <c:pt idx="109">
                  <c:v>7.3875000000000002</c:v>
                </c:pt>
                <c:pt idx="110">
                  <c:v>7.6944444399999998</c:v>
                </c:pt>
                <c:pt idx="111">
                  <c:v>8.2285714300000006</c:v>
                </c:pt>
                <c:pt idx="112">
                  <c:v>9</c:v>
                </c:pt>
                <c:pt idx="113">
                  <c:v>8.7777777799999992</c:v>
                </c:pt>
                <c:pt idx="114">
                  <c:v>8.75</c:v>
                </c:pt>
                <c:pt idx="115">
                  <c:v>8.9499999999999993</c:v>
                </c:pt>
                <c:pt idx="116">
                  <c:v>9.15</c:v>
                </c:pt>
                <c:pt idx="117">
                  <c:v>9.4666666700000004</c:v>
                </c:pt>
                <c:pt idx="118">
                  <c:v>9.43333333</c:v>
                </c:pt>
                <c:pt idx="119">
                  <c:v>9.5</c:v>
                </c:pt>
                <c:pt idx="120">
                  <c:v>9.5875000000000004</c:v>
                </c:pt>
                <c:pt idx="121">
                  <c:v>9.71875</c:v>
                </c:pt>
                <c:pt idx="122">
                  <c:v>9.9499999999999993</c:v>
                </c:pt>
                <c:pt idx="123">
                  <c:v>9.75</c:v>
                </c:pt>
                <c:pt idx="124">
                  <c:v>9.9</c:v>
                </c:pt>
                <c:pt idx="125">
                  <c:v>9.9</c:v>
                </c:pt>
                <c:pt idx="126">
                  <c:v>9.8937500000000007</c:v>
                </c:pt>
                <c:pt idx="127">
                  <c:v>9.85</c:v>
                </c:pt>
                <c:pt idx="128">
                  <c:v>9.7976190476190492</c:v>
                </c:pt>
                <c:pt idx="129">
                  <c:v>9.8413043478260906</c:v>
                </c:pt>
                <c:pt idx="130">
                  <c:v>9.8642857142857103</c:v>
                </c:pt>
                <c:pt idx="131">
                  <c:v>9.8818181818181792</c:v>
                </c:pt>
                <c:pt idx="132">
                  <c:v>10.156521739130399</c:v>
                </c:pt>
                <c:pt idx="133">
                  <c:v>10.1</c:v>
                </c:pt>
                <c:pt idx="134">
                  <c:v>10.1</c:v>
                </c:pt>
                <c:pt idx="135">
                  <c:v>10.1</c:v>
                </c:pt>
                <c:pt idx="136">
                  <c:v>10.8954545454545</c:v>
                </c:pt>
                <c:pt idx="137">
                  <c:v>10.9</c:v>
                </c:pt>
                <c:pt idx="138">
                  <c:v>10.952173913043501</c:v>
                </c:pt>
                <c:pt idx="139">
                  <c:v>11.237500000000001</c:v>
                </c:pt>
                <c:pt idx="140">
                  <c:v>11.492857142857099</c:v>
                </c:pt>
                <c:pt idx="141">
                  <c:v>12.3722222222222</c:v>
                </c:pt>
                <c:pt idx="142">
                  <c:v>13.175000000000001</c:v>
                </c:pt>
                <c:pt idx="143">
                  <c:v>13.35</c:v>
                </c:pt>
                <c:pt idx="144">
                  <c:v>14.8</c:v>
                </c:pt>
                <c:pt idx="145">
                  <c:v>16.05</c:v>
                </c:pt>
                <c:pt idx="146">
                  <c:v>17.1388888888889</c:v>
                </c:pt>
                <c:pt idx="147">
                  <c:v>17.75</c:v>
                </c:pt>
                <c:pt idx="148">
                  <c:v>17.75</c:v>
                </c:pt>
                <c:pt idx="149">
                  <c:v>17.881250000000001</c:v>
                </c:pt>
                <c:pt idx="150">
                  <c:v>17.899999999999999</c:v>
                </c:pt>
                <c:pt idx="151">
                  <c:v>17.899999999999999</c:v>
                </c:pt>
                <c:pt idx="152">
                  <c:v>18.600000000000001</c:v>
                </c:pt>
                <c:pt idx="153">
                  <c:v>20.079999999999998</c:v>
                </c:pt>
                <c:pt idx="154">
                  <c:v>20.2</c:v>
                </c:pt>
                <c:pt idx="155">
                  <c:v>20.5</c:v>
                </c:pt>
                <c:pt idx="156">
                  <c:v>20.535714285714299</c:v>
                </c:pt>
                <c:pt idx="157">
                  <c:v>21.2</c:v>
                </c:pt>
                <c:pt idx="158">
                  <c:v>21.844444444444399</c:v>
                </c:pt>
                <c:pt idx="159">
                  <c:v>23.1444444444444</c:v>
                </c:pt>
                <c:pt idx="160">
                  <c:v>28.25</c:v>
                </c:pt>
                <c:pt idx="161">
                  <c:v>29</c:v>
                </c:pt>
                <c:pt idx="162">
                  <c:v>29.2777777777778</c:v>
                </c:pt>
                <c:pt idx="163">
                  <c:v>29.65</c:v>
                </c:pt>
                <c:pt idx="164">
                  <c:v>30.431249999999999</c:v>
                </c:pt>
                <c:pt idx="165">
                  <c:v>32.75</c:v>
                </c:pt>
                <c:pt idx="166">
                  <c:v>33.5555555555556</c:v>
                </c:pt>
                <c:pt idx="167">
                  <c:v>35.53125</c:v>
                </c:pt>
                <c:pt idx="168">
                  <c:v>36.75</c:v>
                </c:pt>
                <c:pt idx="169">
                  <c:v>37.6875</c:v>
                </c:pt>
                <c:pt idx="170">
                  <c:v>39.770000000000003</c:v>
                </c:pt>
                <c:pt idx="171">
                  <c:v>41.1</c:v>
                </c:pt>
                <c:pt idx="172">
                  <c:v>42.2777777777778</c:v>
                </c:pt>
                <c:pt idx="173">
                  <c:v>44.1666666666667</c:v>
                </c:pt>
                <c:pt idx="174">
                  <c:v>46.5</c:v>
                </c:pt>
                <c:pt idx="175">
                  <c:v>47.4444444444445</c:v>
                </c:pt>
                <c:pt idx="176">
                  <c:v>52.4444444444444</c:v>
                </c:pt>
                <c:pt idx="177">
                  <c:v>56.0625</c:v>
                </c:pt>
                <c:pt idx="178">
                  <c:v>61.4444444444444</c:v>
                </c:pt>
                <c:pt idx="179">
                  <c:v>66.571428571428598</c:v>
                </c:pt>
                <c:pt idx="180">
                  <c:v>72</c:v>
                </c:pt>
                <c:pt idx="181">
                  <c:v>76.25</c:v>
                </c:pt>
                <c:pt idx="182">
                  <c:v>89.4444444444445</c:v>
                </c:pt>
                <c:pt idx="183">
                  <c:v>110.428571428571</c:v>
                </c:pt>
                <c:pt idx="184">
                  <c:v>119.111111111111</c:v>
                </c:pt>
                <c:pt idx="185">
                  <c:v>136.222222222222</c:v>
                </c:pt>
                <c:pt idx="186">
                  <c:v>131.5</c:v>
                </c:pt>
                <c:pt idx="187">
                  <c:v>109.6</c:v>
                </c:pt>
                <c:pt idx="188">
                  <c:v>85</c:v>
                </c:pt>
                <c:pt idx="189">
                  <c:v>77.5</c:v>
                </c:pt>
                <c:pt idx="190">
                  <c:v>92</c:v>
                </c:pt>
                <c:pt idx="191">
                  <c:v>91.8</c:v>
                </c:pt>
                <c:pt idx="192">
                  <c:v>87.5555555555555</c:v>
                </c:pt>
                <c:pt idx="193">
                  <c:v>76</c:v>
                </c:pt>
                <c:pt idx="194">
                  <c:v>73.714285714285694</c:v>
                </c:pt>
                <c:pt idx="195">
                  <c:v>69.4444444444444</c:v>
                </c:pt>
                <c:pt idx="196">
                  <c:v>61.6666666666667</c:v>
                </c:pt>
                <c:pt idx="197">
                  <c:v>59</c:v>
                </c:pt>
                <c:pt idx="198">
                  <c:v>61.84375</c:v>
                </c:pt>
                <c:pt idx="199">
                  <c:v>64.5</c:v>
                </c:pt>
                <c:pt idx="200">
                  <c:v>63</c:v>
                </c:pt>
                <c:pt idx="201">
                  <c:v>48.6</c:v>
                </c:pt>
                <c:pt idx="202">
                  <c:v>50.5</c:v>
                </c:pt>
                <c:pt idx="203">
                  <c:v>54.3333333333333</c:v>
                </c:pt>
                <c:pt idx="204">
                  <c:v>51.4444444444444</c:v>
                </c:pt>
                <c:pt idx="205">
                  <c:v>47</c:v>
                </c:pt>
                <c:pt idx="206">
                  <c:v>43.375</c:v>
                </c:pt>
                <c:pt idx="207">
                  <c:v>41.71875</c:v>
                </c:pt>
                <c:pt idx="208">
                  <c:v>48.5555555555555</c:v>
                </c:pt>
                <c:pt idx="209">
                  <c:v>51.5</c:v>
                </c:pt>
                <c:pt idx="210">
                  <c:v>49.7</c:v>
                </c:pt>
                <c:pt idx="211">
                  <c:v>47.1875</c:v>
                </c:pt>
                <c:pt idx="212">
                  <c:v>44.2777777777778</c:v>
                </c:pt>
                <c:pt idx="213">
                  <c:v>46.1111111111111</c:v>
                </c:pt>
                <c:pt idx="214">
                  <c:v>44.75</c:v>
                </c:pt>
                <c:pt idx="215">
                  <c:v>44.4375</c:v>
                </c:pt>
                <c:pt idx="216">
                  <c:v>43.825000000000003</c:v>
                </c:pt>
                <c:pt idx="217">
                  <c:v>42.1</c:v>
                </c:pt>
                <c:pt idx="218">
                  <c:v>40.911111111111097</c:v>
                </c:pt>
                <c:pt idx="219">
                  <c:v>41.325000000000003</c:v>
                </c:pt>
                <c:pt idx="220">
                  <c:v>41.3</c:v>
                </c:pt>
                <c:pt idx="221">
                  <c:v>40.7777777777778</c:v>
                </c:pt>
                <c:pt idx="222">
                  <c:v>41.9444444444444</c:v>
                </c:pt>
                <c:pt idx="223">
                  <c:v>46.0625</c:v>
                </c:pt>
                <c:pt idx="224">
                  <c:v>46.6666666666667</c:v>
                </c:pt>
                <c:pt idx="225">
                  <c:v>48.8333333333333</c:v>
                </c:pt>
                <c:pt idx="226">
                  <c:v>57.162500000000001</c:v>
                </c:pt>
                <c:pt idx="227">
                  <c:v>60.625</c:v>
                </c:pt>
                <c:pt idx="228">
                  <c:v>63.875</c:v>
                </c:pt>
                <c:pt idx="229">
                  <c:v>65</c:v>
                </c:pt>
                <c:pt idx="230">
                  <c:v>63.5</c:v>
                </c:pt>
                <c:pt idx="231">
                  <c:v>57.821428571428598</c:v>
                </c:pt>
                <c:pt idx="232">
                  <c:v>56.0625</c:v>
                </c:pt>
                <c:pt idx="233">
                  <c:v>55.4</c:v>
                </c:pt>
                <c:pt idx="234">
                  <c:v>52.788888888888899</c:v>
                </c:pt>
                <c:pt idx="235">
                  <c:v>50.683333333333302</c:v>
                </c:pt>
                <c:pt idx="236">
                  <c:v>51.983333333333299</c:v>
                </c:pt>
                <c:pt idx="237">
                  <c:v>52.337499999999999</c:v>
                </c:pt>
                <c:pt idx="238">
                  <c:v>53.1944444444444</c:v>
                </c:pt>
                <c:pt idx="239">
                  <c:v>52.178571428571402</c:v>
                </c:pt>
                <c:pt idx="240">
                  <c:v>52.3125</c:v>
                </c:pt>
                <c:pt idx="241">
                  <c:v>52.0555555555556</c:v>
                </c:pt>
                <c:pt idx="242">
                  <c:v>51.288888888888899</c:v>
                </c:pt>
                <c:pt idx="243">
                  <c:v>51.3</c:v>
                </c:pt>
                <c:pt idx="244">
                  <c:v>51.8888888888889</c:v>
                </c:pt>
                <c:pt idx="245">
                  <c:v>50.8333333333333</c:v>
                </c:pt>
                <c:pt idx="246">
                  <c:v>50.355555555555597</c:v>
                </c:pt>
                <c:pt idx="247">
                  <c:v>49.25</c:v>
                </c:pt>
                <c:pt idx="248">
                  <c:v>47.725000000000001</c:v>
                </c:pt>
                <c:pt idx="249">
                  <c:v>44.6111111111111</c:v>
                </c:pt>
                <c:pt idx="250">
                  <c:v>41.5</c:v>
                </c:pt>
                <c:pt idx="251">
                  <c:v>43.6666666666667</c:v>
                </c:pt>
                <c:pt idx="252">
                  <c:v>42.75</c:v>
                </c:pt>
                <c:pt idx="253">
                  <c:v>43.40625</c:v>
                </c:pt>
                <c:pt idx="254">
                  <c:v>42.28125</c:v>
                </c:pt>
                <c:pt idx="255">
                  <c:v>41.412500000000001</c:v>
                </c:pt>
                <c:pt idx="256">
                  <c:v>40.604999999999997</c:v>
                </c:pt>
                <c:pt idx="257">
                  <c:v>39.9375</c:v>
                </c:pt>
                <c:pt idx="258">
                  <c:v>38.022222222222197</c:v>
                </c:pt>
                <c:pt idx="259">
                  <c:v>34.994162640901799</c:v>
                </c:pt>
                <c:pt idx="260">
                  <c:v>34.453286749482402</c:v>
                </c:pt>
                <c:pt idx="261">
                  <c:v>34.848495589161899</c:v>
                </c:pt>
                <c:pt idx="262">
                  <c:v>35.592003105590003</c:v>
                </c:pt>
                <c:pt idx="263">
                  <c:v>34.593297101449302</c:v>
                </c:pt>
                <c:pt idx="264">
                  <c:v>35.214988972904798</c:v>
                </c:pt>
                <c:pt idx="265">
                  <c:v>35.546739130434801</c:v>
                </c:pt>
                <c:pt idx="266">
                  <c:v>34.7028554175293</c:v>
                </c:pt>
                <c:pt idx="267">
                  <c:v>32.744565217391298</c:v>
                </c:pt>
                <c:pt idx="268">
                  <c:v>28.539855072463801</c:v>
                </c:pt>
                <c:pt idx="269">
                  <c:v>28.2254572118702</c:v>
                </c:pt>
                <c:pt idx="270">
                  <c:v>28.4002047889099</c:v>
                </c:pt>
                <c:pt idx="271">
                  <c:v>30.829321946169799</c:v>
                </c:pt>
                <c:pt idx="272">
                  <c:v>34.371829710144901</c:v>
                </c:pt>
                <c:pt idx="273">
                  <c:v>35.751732829237497</c:v>
                </c:pt>
                <c:pt idx="274">
                  <c:v>40.597373188405797</c:v>
                </c:pt>
                <c:pt idx="275">
                  <c:v>36.948251417769299</c:v>
                </c:pt>
                <c:pt idx="276">
                  <c:v>35.897727272727302</c:v>
                </c:pt>
                <c:pt idx="277">
                  <c:v>38.1875</c:v>
                </c:pt>
                <c:pt idx="278">
                  <c:v>39.318181818181799</c:v>
                </c:pt>
                <c:pt idx="279">
                  <c:v>38.840909090909101</c:v>
                </c:pt>
                <c:pt idx="280">
                  <c:v>35.690476190476197</c:v>
                </c:pt>
                <c:pt idx="281">
                  <c:v>36.045454545454497</c:v>
                </c:pt>
                <c:pt idx="282">
                  <c:v>36.2826086956522</c:v>
                </c:pt>
                <c:pt idx="283">
                  <c:v>36.095238095238102</c:v>
                </c:pt>
                <c:pt idx="284">
                  <c:v>37.056818181818201</c:v>
                </c:pt>
                <c:pt idx="285">
                  <c:v>37.238636363636402</c:v>
                </c:pt>
                <c:pt idx="286">
                  <c:v>35.964285714285701</c:v>
                </c:pt>
                <c:pt idx="287">
                  <c:v>35.163043478260903</c:v>
                </c:pt>
                <c:pt idx="288">
                  <c:v>34.690476190476197</c:v>
                </c:pt>
                <c:pt idx="289">
                  <c:v>34.007142857142902</c:v>
                </c:pt>
                <c:pt idx="290">
                  <c:v>30.1065217391304</c:v>
                </c:pt>
                <c:pt idx="291">
                  <c:v>27.816666666666698</c:v>
                </c:pt>
                <c:pt idx="292">
                  <c:v>27.954545454545499</c:v>
                </c:pt>
                <c:pt idx="293">
                  <c:v>27.352272727272702</c:v>
                </c:pt>
                <c:pt idx="294">
                  <c:v>25.845238095238098</c:v>
                </c:pt>
                <c:pt idx="295">
                  <c:v>25.902173913043502</c:v>
                </c:pt>
                <c:pt idx="296">
                  <c:v>24.875</c:v>
                </c:pt>
                <c:pt idx="297">
                  <c:v>21.488095238095202</c:v>
                </c:pt>
                <c:pt idx="298">
                  <c:v>18.568181818181799</c:v>
                </c:pt>
                <c:pt idx="299">
                  <c:v>19.215909090909101</c:v>
                </c:pt>
                <c:pt idx="300">
                  <c:v>22.170454545454501</c:v>
                </c:pt>
                <c:pt idx="301">
                  <c:v>25.15</c:v>
                </c:pt>
                <c:pt idx="302">
                  <c:v>24.6413043478261</c:v>
                </c:pt>
                <c:pt idx="303">
                  <c:v>23.25</c:v>
                </c:pt>
                <c:pt idx="304">
                  <c:v>21.6413043478261</c:v>
                </c:pt>
                <c:pt idx="305">
                  <c:v>19.75</c:v>
                </c:pt>
                <c:pt idx="306">
                  <c:v>20.3642857142857</c:v>
                </c:pt>
                <c:pt idx="307">
                  <c:v>20.406521739130401</c:v>
                </c:pt>
                <c:pt idx="308">
                  <c:v>20.428571428571399</c:v>
                </c:pt>
                <c:pt idx="309">
                  <c:v>20.234090909090899</c:v>
                </c:pt>
                <c:pt idx="310">
                  <c:v>22.345454545454501</c:v>
                </c:pt>
                <c:pt idx="311">
                  <c:v>24.6904761904762</c:v>
                </c:pt>
                <c:pt idx="312">
                  <c:v>23.369565217391301</c:v>
                </c:pt>
                <c:pt idx="313">
                  <c:v>21.762499999999999</c:v>
                </c:pt>
                <c:pt idx="314">
                  <c:v>21.727272727272702</c:v>
                </c:pt>
                <c:pt idx="315">
                  <c:v>20.845238095238098</c:v>
                </c:pt>
                <c:pt idx="316">
                  <c:v>21.978260869565201</c:v>
                </c:pt>
                <c:pt idx="317">
                  <c:v>23.071428571428601</c:v>
                </c:pt>
                <c:pt idx="318">
                  <c:v>23.4159090909091</c:v>
                </c:pt>
                <c:pt idx="319">
                  <c:v>26.047826086956501</c:v>
                </c:pt>
                <c:pt idx="320">
                  <c:v>27.107500000000002</c:v>
                </c:pt>
                <c:pt idx="321">
                  <c:v>27.508695652173898</c:v>
                </c:pt>
                <c:pt idx="322">
                  <c:v>28.934090909090902</c:v>
                </c:pt>
                <c:pt idx="323">
                  <c:v>28.761904761904798</c:v>
                </c:pt>
                <c:pt idx="324">
                  <c:v>28.710869565217401</c:v>
                </c:pt>
                <c:pt idx="325">
                  <c:v>28.645</c:v>
                </c:pt>
                <c:pt idx="326">
                  <c:v>27.202380952380999</c:v>
                </c:pt>
                <c:pt idx="327">
                  <c:v>25.704545454545499</c:v>
                </c:pt>
                <c:pt idx="328">
                  <c:v>24.684782608695599</c:v>
                </c:pt>
                <c:pt idx="329">
                  <c:v>24.475000000000001</c:v>
                </c:pt>
                <c:pt idx="330">
                  <c:v>25.228260869565201</c:v>
                </c:pt>
                <c:pt idx="331">
                  <c:v>25.284090909090899</c:v>
                </c:pt>
                <c:pt idx="332">
                  <c:v>25.4119047619048</c:v>
                </c:pt>
                <c:pt idx="333">
                  <c:v>24.917391304347799</c:v>
                </c:pt>
                <c:pt idx="334">
                  <c:v>24.988095238095202</c:v>
                </c:pt>
                <c:pt idx="335">
                  <c:v>25.625</c:v>
                </c:pt>
                <c:pt idx="336">
                  <c:v>24.6413043478261</c:v>
                </c:pt>
                <c:pt idx="337">
                  <c:v>24.6875</c:v>
                </c:pt>
                <c:pt idx="338">
                  <c:v>24.6613636363636</c:v>
                </c:pt>
                <c:pt idx="339">
                  <c:v>29.9636363636364</c:v>
                </c:pt>
                <c:pt idx="340">
                  <c:v>33.511904761904802</c:v>
                </c:pt>
                <c:pt idx="341">
                  <c:v>33.088636363636397</c:v>
                </c:pt>
                <c:pt idx="342">
                  <c:v>32.360869565217399</c:v>
                </c:pt>
                <c:pt idx="343">
                  <c:v>31.376190476190501</c:v>
                </c:pt>
                <c:pt idx="344">
                  <c:v>29.981818181818198</c:v>
                </c:pt>
                <c:pt idx="345">
                  <c:v>29.636363636363601</c:v>
                </c:pt>
                <c:pt idx="346">
                  <c:v>29.485714285714302</c:v>
                </c:pt>
                <c:pt idx="347">
                  <c:v>29.773913043478299</c:v>
                </c:pt>
                <c:pt idx="348">
                  <c:v>29.8571428571429</c:v>
                </c:pt>
                <c:pt idx="349">
                  <c:v>28.662500000000001</c:v>
                </c:pt>
                <c:pt idx="350">
                  <c:v>28.334782608695701</c:v>
                </c:pt>
                <c:pt idx="351">
                  <c:v>29.7522727272727</c:v>
                </c:pt>
                <c:pt idx="352">
                  <c:v>30.257142857142899</c:v>
                </c:pt>
                <c:pt idx="353">
                  <c:v>32.142105263157902</c:v>
                </c:pt>
                <c:pt idx="354">
                  <c:v>32.338636363636397</c:v>
                </c:pt>
                <c:pt idx="355">
                  <c:v>32.147727272727302</c:v>
                </c:pt>
                <c:pt idx="356">
                  <c:v>45.078125</c:v>
                </c:pt>
                <c:pt idx="357">
                  <c:v>38.476190476190503</c:v>
                </c:pt>
                <c:pt idx="358">
                  <c:v>31.099584036972999</c:v>
                </c:pt>
                <c:pt idx="359">
                  <c:v>36.129303027444998</c:v>
                </c:pt>
                <c:pt idx="360">
                  <c:v>36.872921185827899</c:v>
                </c:pt>
                <c:pt idx="361">
                  <c:v>35.8319143167028</c:v>
                </c:pt>
                <c:pt idx="362">
                  <c:v>45.514701028010897</c:v>
                </c:pt>
                <c:pt idx="363">
                  <c:v>48.704730916227597</c:v>
                </c:pt>
                <c:pt idx="364">
                  <c:v>40.891626405048299</c:v>
                </c:pt>
                <c:pt idx="365">
                  <c:v>40.331517452179</c:v>
                </c:pt>
                <c:pt idx="366">
                  <c:v>38.939159177770797</c:v>
                </c:pt>
                <c:pt idx="367">
                  <c:v>39.802308308969103</c:v>
                </c:pt>
                <c:pt idx="368">
                  <c:v>40.950391934529598</c:v>
                </c:pt>
                <c:pt idx="369">
                  <c:v>41.303597252349903</c:v>
                </c:pt>
                <c:pt idx="370">
                  <c:v>40.954064780122202</c:v>
                </c:pt>
                <c:pt idx="371">
                  <c:v>39.178243936107201</c:v>
                </c:pt>
                <c:pt idx="372">
                  <c:v>40.063399723920199</c:v>
                </c:pt>
                <c:pt idx="373">
                  <c:v>41.314370932754798</c:v>
                </c:pt>
                <c:pt idx="374">
                  <c:v>40.741523004909098</c:v>
                </c:pt>
                <c:pt idx="375">
                  <c:v>41.762017353579097</c:v>
                </c:pt>
                <c:pt idx="376">
                  <c:v>43.462666226539497</c:v>
                </c:pt>
                <c:pt idx="377">
                  <c:v>45.700483139420101</c:v>
                </c:pt>
                <c:pt idx="378">
                  <c:v>45.247533829149802</c:v>
                </c:pt>
                <c:pt idx="379">
                  <c:v>46.377180986513103</c:v>
                </c:pt>
                <c:pt idx="380">
                  <c:v>53.202742485280297</c:v>
                </c:pt>
                <c:pt idx="381">
                  <c:v>57.646413429303799</c:v>
                </c:pt>
                <c:pt idx="382">
                  <c:v>62.285951981857501</c:v>
                </c:pt>
                <c:pt idx="383">
                  <c:v>70.059704575973399</c:v>
                </c:pt>
                <c:pt idx="384">
                  <c:v>80.363458455154102</c:v>
                </c:pt>
                <c:pt idx="385">
                  <c:v>81.318200599111506</c:v>
                </c:pt>
                <c:pt idx="386">
                  <c:v>71.814275384774206</c:v>
                </c:pt>
                <c:pt idx="387">
                  <c:v>71.638853283375894</c:v>
                </c:pt>
                <c:pt idx="388">
                  <c:v>73.950190983683797</c:v>
                </c:pt>
                <c:pt idx="389">
                  <c:v>69.187228850325297</c:v>
                </c:pt>
                <c:pt idx="390">
                  <c:v>68.251850891257007</c:v>
                </c:pt>
                <c:pt idx="391">
                  <c:v>65.288503253795994</c:v>
                </c:pt>
                <c:pt idx="392">
                  <c:v>64.630539200495704</c:v>
                </c:pt>
                <c:pt idx="393">
                  <c:v>66.511081769310394</c:v>
                </c:pt>
                <c:pt idx="394">
                  <c:v>63.158777502324</c:v>
                </c:pt>
                <c:pt idx="395">
                  <c:v>60.219976336028303</c:v>
                </c:pt>
                <c:pt idx="396">
                  <c:v>58.9595515420163</c:v>
                </c:pt>
                <c:pt idx="397">
                  <c:v>54.315509761388199</c:v>
                </c:pt>
                <c:pt idx="398">
                  <c:v>51.834869848156103</c:v>
                </c:pt>
                <c:pt idx="399">
                  <c:v>52.685133602839599</c:v>
                </c:pt>
                <c:pt idx="400">
                  <c:v>57.305573358311896</c:v>
                </c:pt>
                <c:pt idx="401">
                  <c:v>59.576528767689197</c:v>
                </c:pt>
                <c:pt idx="402">
                  <c:v>58.9472554937281</c:v>
                </c:pt>
                <c:pt idx="403">
                  <c:v>58.966661501910799</c:v>
                </c:pt>
                <c:pt idx="404">
                  <c:v>62.875443699467397</c:v>
                </c:pt>
                <c:pt idx="405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0-4D6F-82D3-A08B79A18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441936"/>
        <c:axId val="221441520"/>
      </c:lineChart>
      <c:catAx>
        <c:axId val="221441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441520"/>
        <c:crosses val="autoZero"/>
        <c:auto val="1"/>
        <c:lblAlgn val="ctr"/>
        <c:lblOffset val="100"/>
        <c:noMultiLvlLbl val="0"/>
      </c:catAx>
      <c:valAx>
        <c:axId val="2214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44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'dataset 2011-2025'!$U$3</c:f>
              <c:strCache>
                <c:ptCount val="1"/>
                <c:pt idx="0">
                  <c:v>Moyenne générale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'dataset 2011-2025'!$G$4:$G$18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5-4516-BF57-E54637DBB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619207"/>
        <c:axId val="1175245831"/>
      </c:lineChart>
      <c:catAx>
        <c:axId val="1157619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5245831"/>
        <c:crosses val="autoZero"/>
        <c:auto val="1"/>
        <c:lblAlgn val="ctr"/>
        <c:lblOffset val="100"/>
        <c:noMultiLvlLbl val="0"/>
      </c:catAx>
      <c:valAx>
        <c:axId val="1175245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619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Taux de croissance annuel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'dataset 2011-2025'!$G$5:$G$18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'dataset 2011-2025'!$V$5:$V$18</c:f>
              <c:numCache>
                <c:formatCode>0.00</c:formatCode>
                <c:ptCount val="14"/>
                <c:pt idx="0">
                  <c:v>-13.051209103840689</c:v>
                </c:pt>
                <c:pt idx="1">
                  <c:v>-21.124744376278116</c:v>
                </c:pt>
                <c:pt idx="2">
                  <c:v>-13.170858179932585</c:v>
                </c:pt>
                <c:pt idx="3">
                  <c:v>9.9432666467602218</c:v>
                </c:pt>
                <c:pt idx="4">
                  <c:v>-28.055404671374259</c:v>
                </c:pt>
                <c:pt idx="5">
                  <c:v>-16.61004152510381</c:v>
                </c:pt>
                <c:pt idx="6">
                  <c:v>11.090991398822995</c:v>
                </c:pt>
                <c:pt idx="7">
                  <c:v>5.5827220863895732</c:v>
                </c:pt>
                <c:pt idx="8">
                  <c:v>13.585488228483209</c:v>
                </c:pt>
                <c:pt idx="9">
                  <c:v>11.654774040095141</c:v>
                </c:pt>
                <c:pt idx="10">
                  <c:v>24.071819841752902</c:v>
                </c:pt>
                <c:pt idx="11">
                  <c:v>20.161883738042675</c:v>
                </c:pt>
                <c:pt idx="12">
                  <c:v>42.253521126760553</c:v>
                </c:pt>
                <c:pt idx="13">
                  <c:v>-16.860381690342948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9-4F4E-B06E-9A9A559FD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804871"/>
        <c:axId val="2136810503"/>
      </c:barChart>
      <c:catAx>
        <c:axId val="2136804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810503"/>
        <c:crosses val="autoZero"/>
        <c:auto val="1"/>
        <c:lblAlgn val="ctr"/>
        <c:lblOffset val="100"/>
        <c:noMultiLvlLbl val="0"/>
      </c:catAx>
      <c:valAx>
        <c:axId val="213681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804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AECAC4"/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539577367113059E-2"/>
                  <c:y val="-3.43653515248404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xVal>
          <c:yVal>
            <c:numRef>
              <c:f>'dataset 2011-2025'!$AC$4:$AC$18</c:f>
              <c:numCache>
                <c:formatCode>0.00</c:formatCode>
                <c:ptCount val="15"/>
                <c:pt idx="0">
                  <c:v>4.9413957205092043</c:v>
                </c:pt>
                <c:pt idx="1">
                  <c:v>3.5342467372836319</c:v>
                </c:pt>
                <c:pt idx="2">
                  <c:v>3.3840125549740812</c:v>
                </c:pt>
                <c:pt idx="3">
                  <c:v>3.6831609122539777</c:v>
                </c:pt>
                <c:pt idx="4">
                  <c:v>1.273528290049168</c:v>
                </c:pt>
                <c:pt idx="5">
                  <c:v>4.8773615362771112</c:v>
                </c:pt>
                <c:pt idx="6">
                  <c:v>1.8653483067662071</c:v>
                </c:pt>
                <c:pt idx="7">
                  <c:v>2.8190497808067776</c:v>
                </c:pt>
                <c:pt idx="8">
                  <c:v>1.4032007063218794</c:v>
                </c:pt>
                <c:pt idx="9">
                  <c:v>3.0460451362746492</c:v>
                </c:pt>
                <c:pt idx="10">
                  <c:v>4.6510667832468151</c:v>
                </c:pt>
                <c:pt idx="11">
                  <c:v>3.3208644916982424</c:v>
                </c:pt>
                <c:pt idx="12">
                  <c:v>9.28628902677975</c:v>
                </c:pt>
                <c:pt idx="13">
                  <c:v>6.2267667617757727</c:v>
                </c:pt>
                <c:pt idx="14">
                  <c:v>3.8059249861236113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F-4D5C-9503-BD5054638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15855"/>
        <c:axId val="1011821263"/>
      </c:scatterChart>
      <c:valAx>
        <c:axId val="101181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21263"/>
        <c:crosses val="autoZero"/>
        <c:crossBetween val="midCat"/>
      </c:valAx>
      <c:valAx>
        <c:axId val="10118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1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rgbClr val="2E4022"/>
                </a:solidFill>
                <a:effectLst/>
              </a:rPr>
              <a:t>Ajustement Linéaire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linéaire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4308772321262032E-2"/>
                  <c:y val="4.64820615918760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F-4202-A0DD-2F7975FA2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rgbClr val="2E4022"/>
                </a:solidFill>
                <a:effectLst/>
              </a:rPr>
              <a:t>Ajustement Quadratique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quadratique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2.5589090173972699E-2"/>
                  <c:y val="0.18998932658364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C-4FA1-BA9C-44072659B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rgbClr val="2E4022"/>
                </a:solidFill>
                <a:effectLst/>
              </a:rPr>
              <a:t>Ajustement Exponentiel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exponentiel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1.0573327148940475E-2"/>
                  <c:y val="4.11058524140738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6-471D-95EE-1BE4B5A9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Prévision_g!$A$3:$A$194</c:f>
              <c:strCache>
                <c:ptCount val="192"/>
                <c:pt idx="0">
                  <c:v>2011-M01</c:v>
                </c:pt>
                <c:pt idx="1">
                  <c:v>2011-M02</c:v>
                </c:pt>
                <c:pt idx="2">
                  <c:v>2011-M03</c:v>
                </c:pt>
                <c:pt idx="3">
                  <c:v>2011-M04</c:v>
                </c:pt>
                <c:pt idx="4">
                  <c:v>2011-M05</c:v>
                </c:pt>
                <c:pt idx="5">
                  <c:v>2011-M06</c:v>
                </c:pt>
                <c:pt idx="6">
                  <c:v>2011-M07</c:v>
                </c:pt>
                <c:pt idx="7">
                  <c:v>2011-M08</c:v>
                </c:pt>
                <c:pt idx="8">
                  <c:v>2011-M09</c:v>
                </c:pt>
                <c:pt idx="9">
                  <c:v>2011-M10</c:v>
                </c:pt>
                <c:pt idx="10">
                  <c:v>2011-M11</c:v>
                </c:pt>
                <c:pt idx="11">
                  <c:v>2011-M12</c:v>
                </c:pt>
                <c:pt idx="12">
                  <c:v>2012-M01</c:v>
                </c:pt>
                <c:pt idx="13">
                  <c:v>2012-M02</c:v>
                </c:pt>
                <c:pt idx="14">
                  <c:v>2012-M03</c:v>
                </c:pt>
                <c:pt idx="15">
                  <c:v>2012-M04</c:v>
                </c:pt>
                <c:pt idx="16">
                  <c:v>2012-M05</c:v>
                </c:pt>
                <c:pt idx="17">
                  <c:v>2012-M06</c:v>
                </c:pt>
                <c:pt idx="18">
                  <c:v>2012-M07</c:v>
                </c:pt>
                <c:pt idx="19">
                  <c:v>2012-M08</c:v>
                </c:pt>
                <c:pt idx="20">
                  <c:v>2012-M09</c:v>
                </c:pt>
                <c:pt idx="21">
                  <c:v>2012-M10</c:v>
                </c:pt>
                <c:pt idx="22">
                  <c:v>2012-M11</c:v>
                </c:pt>
                <c:pt idx="23">
                  <c:v>2012-M12</c:v>
                </c:pt>
                <c:pt idx="24">
                  <c:v>2013-M01</c:v>
                </c:pt>
                <c:pt idx="25">
                  <c:v>2013-M02</c:v>
                </c:pt>
                <c:pt idx="26">
                  <c:v>2013-M03</c:v>
                </c:pt>
                <c:pt idx="27">
                  <c:v>2013-M04</c:v>
                </c:pt>
                <c:pt idx="28">
                  <c:v>2013-M05</c:v>
                </c:pt>
                <c:pt idx="29">
                  <c:v>2013-M06</c:v>
                </c:pt>
                <c:pt idx="30">
                  <c:v>2013-M07</c:v>
                </c:pt>
                <c:pt idx="31">
                  <c:v>2013-M08</c:v>
                </c:pt>
                <c:pt idx="32">
                  <c:v>2013-M09</c:v>
                </c:pt>
                <c:pt idx="33">
                  <c:v>2013-M10</c:v>
                </c:pt>
                <c:pt idx="34">
                  <c:v>2013-M11</c:v>
                </c:pt>
                <c:pt idx="35">
                  <c:v>2013-M12</c:v>
                </c:pt>
                <c:pt idx="36">
                  <c:v>2014-M01</c:v>
                </c:pt>
                <c:pt idx="37">
                  <c:v>2014-M02</c:v>
                </c:pt>
                <c:pt idx="38">
                  <c:v>2014-M03</c:v>
                </c:pt>
                <c:pt idx="39">
                  <c:v>2014-M04</c:v>
                </c:pt>
                <c:pt idx="40">
                  <c:v>2014-M05</c:v>
                </c:pt>
                <c:pt idx="41">
                  <c:v>2014-M06</c:v>
                </c:pt>
                <c:pt idx="42">
                  <c:v>2014-M07</c:v>
                </c:pt>
                <c:pt idx="43">
                  <c:v>2014-M08</c:v>
                </c:pt>
                <c:pt idx="44">
                  <c:v>2014-M09</c:v>
                </c:pt>
                <c:pt idx="45">
                  <c:v>2014-M10</c:v>
                </c:pt>
                <c:pt idx="46">
                  <c:v>2014-M11</c:v>
                </c:pt>
                <c:pt idx="47">
                  <c:v>2014-M12</c:v>
                </c:pt>
                <c:pt idx="48">
                  <c:v>2015-M01</c:v>
                </c:pt>
                <c:pt idx="49">
                  <c:v>2015-M02</c:v>
                </c:pt>
                <c:pt idx="50">
                  <c:v>2015-M03</c:v>
                </c:pt>
                <c:pt idx="51">
                  <c:v>2015-M04</c:v>
                </c:pt>
                <c:pt idx="52">
                  <c:v>2015-M05</c:v>
                </c:pt>
                <c:pt idx="53">
                  <c:v>2015-M06</c:v>
                </c:pt>
                <c:pt idx="54">
                  <c:v>2015-M07</c:v>
                </c:pt>
                <c:pt idx="55">
                  <c:v>2015-M08</c:v>
                </c:pt>
                <c:pt idx="56">
                  <c:v>2015-M09</c:v>
                </c:pt>
                <c:pt idx="57">
                  <c:v>2015-M10</c:v>
                </c:pt>
                <c:pt idx="58">
                  <c:v>2015-M11</c:v>
                </c:pt>
                <c:pt idx="59">
                  <c:v>2015-M12</c:v>
                </c:pt>
                <c:pt idx="60">
                  <c:v>2016-M01</c:v>
                </c:pt>
                <c:pt idx="61">
                  <c:v>2016-M02</c:v>
                </c:pt>
                <c:pt idx="62">
                  <c:v>2016-M03</c:v>
                </c:pt>
                <c:pt idx="63">
                  <c:v>2016-M04</c:v>
                </c:pt>
                <c:pt idx="64">
                  <c:v>2016-M05</c:v>
                </c:pt>
                <c:pt idx="65">
                  <c:v>2016-M06</c:v>
                </c:pt>
                <c:pt idx="66">
                  <c:v>2016-M07</c:v>
                </c:pt>
                <c:pt idx="67">
                  <c:v>2016-M08</c:v>
                </c:pt>
                <c:pt idx="68">
                  <c:v>2016-M09</c:v>
                </c:pt>
                <c:pt idx="69">
                  <c:v>2016-M10</c:v>
                </c:pt>
                <c:pt idx="70">
                  <c:v>2016-M11</c:v>
                </c:pt>
                <c:pt idx="71">
                  <c:v>2016-M12</c:v>
                </c:pt>
                <c:pt idx="72">
                  <c:v>2017-M01</c:v>
                </c:pt>
                <c:pt idx="73">
                  <c:v>2017-M02</c:v>
                </c:pt>
                <c:pt idx="74">
                  <c:v>2017-M03</c:v>
                </c:pt>
                <c:pt idx="75">
                  <c:v>2017-M04</c:v>
                </c:pt>
                <c:pt idx="76">
                  <c:v>2017-M05</c:v>
                </c:pt>
                <c:pt idx="77">
                  <c:v>2017-M06</c:v>
                </c:pt>
                <c:pt idx="78">
                  <c:v>2017-M07</c:v>
                </c:pt>
                <c:pt idx="79">
                  <c:v>2017-M08</c:v>
                </c:pt>
                <c:pt idx="80">
                  <c:v>2017-M09</c:v>
                </c:pt>
                <c:pt idx="81">
                  <c:v>2017-M10</c:v>
                </c:pt>
                <c:pt idx="82">
                  <c:v>2017-M11</c:v>
                </c:pt>
                <c:pt idx="83">
                  <c:v>2017-M12</c:v>
                </c:pt>
                <c:pt idx="84">
                  <c:v>2018-M01</c:v>
                </c:pt>
                <c:pt idx="85">
                  <c:v>2018-M02</c:v>
                </c:pt>
                <c:pt idx="86">
                  <c:v>2018-M03</c:v>
                </c:pt>
                <c:pt idx="87">
                  <c:v>2018-M04</c:v>
                </c:pt>
                <c:pt idx="88">
                  <c:v>2018-M05</c:v>
                </c:pt>
                <c:pt idx="89">
                  <c:v>2018-M06</c:v>
                </c:pt>
                <c:pt idx="90">
                  <c:v>2018-M07</c:v>
                </c:pt>
                <c:pt idx="91">
                  <c:v>2018-M08</c:v>
                </c:pt>
                <c:pt idx="92">
                  <c:v>2018-M09</c:v>
                </c:pt>
                <c:pt idx="93">
                  <c:v>2018-M10</c:v>
                </c:pt>
                <c:pt idx="94">
                  <c:v>2018-M11</c:v>
                </c:pt>
                <c:pt idx="95">
                  <c:v>2018-M12</c:v>
                </c:pt>
                <c:pt idx="96">
                  <c:v>2019-M01</c:v>
                </c:pt>
                <c:pt idx="97">
                  <c:v>2019-M02</c:v>
                </c:pt>
                <c:pt idx="98">
                  <c:v>2019-M03</c:v>
                </c:pt>
                <c:pt idx="99">
                  <c:v>2019-M04</c:v>
                </c:pt>
                <c:pt idx="100">
                  <c:v>2019-M05</c:v>
                </c:pt>
                <c:pt idx="101">
                  <c:v>2019-M06</c:v>
                </c:pt>
                <c:pt idx="102">
                  <c:v>2019-M07</c:v>
                </c:pt>
                <c:pt idx="103">
                  <c:v>2019-M08</c:v>
                </c:pt>
                <c:pt idx="104">
                  <c:v>2019-M09</c:v>
                </c:pt>
                <c:pt idx="105">
                  <c:v>2019-M10</c:v>
                </c:pt>
                <c:pt idx="106">
                  <c:v>2019-M11</c:v>
                </c:pt>
                <c:pt idx="107">
                  <c:v>2019-M12</c:v>
                </c:pt>
                <c:pt idx="108">
                  <c:v>2020-M01</c:v>
                </c:pt>
                <c:pt idx="109">
                  <c:v>2020-M02</c:v>
                </c:pt>
                <c:pt idx="110">
                  <c:v>2020-M03</c:v>
                </c:pt>
                <c:pt idx="111">
                  <c:v>2020-M04</c:v>
                </c:pt>
                <c:pt idx="112">
                  <c:v>2020-M05</c:v>
                </c:pt>
                <c:pt idx="113">
                  <c:v>2020-M06</c:v>
                </c:pt>
                <c:pt idx="114">
                  <c:v>2020-M07</c:v>
                </c:pt>
                <c:pt idx="115">
                  <c:v>2020-M08</c:v>
                </c:pt>
                <c:pt idx="116">
                  <c:v>2020-M09</c:v>
                </c:pt>
                <c:pt idx="117">
                  <c:v>2020-M10</c:v>
                </c:pt>
                <c:pt idx="118">
                  <c:v>2020-M11</c:v>
                </c:pt>
                <c:pt idx="119">
                  <c:v>2020-M12</c:v>
                </c:pt>
                <c:pt idx="120">
                  <c:v>2021-M01</c:v>
                </c:pt>
                <c:pt idx="121">
                  <c:v>2021-M02</c:v>
                </c:pt>
                <c:pt idx="122">
                  <c:v>2021-M03</c:v>
                </c:pt>
                <c:pt idx="123">
                  <c:v>2021-M04</c:v>
                </c:pt>
                <c:pt idx="124">
                  <c:v>2021-M05</c:v>
                </c:pt>
                <c:pt idx="125">
                  <c:v>2021-M06</c:v>
                </c:pt>
                <c:pt idx="126">
                  <c:v>2021-M07</c:v>
                </c:pt>
                <c:pt idx="127">
                  <c:v>2021-M08</c:v>
                </c:pt>
                <c:pt idx="128">
                  <c:v>2021-M09</c:v>
                </c:pt>
                <c:pt idx="129">
                  <c:v>2021-M10</c:v>
                </c:pt>
                <c:pt idx="130">
                  <c:v>2021-M11</c:v>
                </c:pt>
                <c:pt idx="131">
                  <c:v>2021-M12</c:v>
                </c:pt>
                <c:pt idx="132">
                  <c:v>2022-M01</c:v>
                </c:pt>
                <c:pt idx="133">
                  <c:v>2022-M02</c:v>
                </c:pt>
                <c:pt idx="134">
                  <c:v>2022-M03</c:v>
                </c:pt>
                <c:pt idx="135">
                  <c:v>2022-M04</c:v>
                </c:pt>
                <c:pt idx="136">
                  <c:v>2022-M05</c:v>
                </c:pt>
                <c:pt idx="137">
                  <c:v>2022-M06</c:v>
                </c:pt>
                <c:pt idx="138">
                  <c:v>2022-M07</c:v>
                </c:pt>
                <c:pt idx="139">
                  <c:v>2022-M08</c:v>
                </c:pt>
                <c:pt idx="140">
                  <c:v>2022-M09</c:v>
                </c:pt>
                <c:pt idx="141">
                  <c:v>2022-M10</c:v>
                </c:pt>
                <c:pt idx="142">
                  <c:v>2022-M11</c:v>
                </c:pt>
                <c:pt idx="143">
                  <c:v>2022-M12</c:v>
                </c:pt>
                <c:pt idx="144">
                  <c:v>2023-M01</c:v>
                </c:pt>
                <c:pt idx="145">
                  <c:v>2023-M02</c:v>
                </c:pt>
                <c:pt idx="146">
                  <c:v>2023-M03</c:v>
                </c:pt>
                <c:pt idx="147">
                  <c:v>2023-M04</c:v>
                </c:pt>
                <c:pt idx="148">
                  <c:v>2023-M05</c:v>
                </c:pt>
                <c:pt idx="149">
                  <c:v>2023-M06</c:v>
                </c:pt>
                <c:pt idx="150">
                  <c:v>2023-M07</c:v>
                </c:pt>
                <c:pt idx="151">
                  <c:v>2023-M08</c:v>
                </c:pt>
                <c:pt idx="152">
                  <c:v>2023-M09</c:v>
                </c:pt>
                <c:pt idx="153">
                  <c:v>2023-M10</c:v>
                </c:pt>
                <c:pt idx="154">
                  <c:v>2023-M11</c:v>
                </c:pt>
                <c:pt idx="155">
                  <c:v>2023-M12</c:v>
                </c:pt>
                <c:pt idx="156">
                  <c:v>2024-M01</c:v>
                </c:pt>
                <c:pt idx="157">
                  <c:v>2024-M02</c:v>
                </c:pt>
                <c:pt idx="158">
                  <c:v>2024-M03</c:v>
                </c:pt>
                <c:pt idx="159">
                  <c:v>2024-M04</c:v>
                </c:pt>
                <c:pt idx="160">
                  <c:v>2024-M05</c:v>
                </c:pt>
                <c:pt idx="161">
                  <c:v>2024-M06</c:v>
                </c:pt>
                <c:pt idx="162">
                  <c:v>2024-M07</c:v>
                </c:pt>
                <c:pt idx="163">
                  <c:v>2024-M08</c:v>
                </c:pt>
                <c:pt idx="164">
                  <c:v>2024-M09</c:v>
                </c:pt>
                <c:pt idx="165">
                  <c:v>2024-M10</c:v>
                </c:pt>
                <c:pt idx="166">
                  <c:v>2024-M11</c:v>
                </c:pt>
                <c:pt idx="167">
                  <c:v>2024-M12</c:v>
                </c:pt>
                <c:pt idx="168">
                  <c:v>2025-M01</c:v>
                </c:pt>
                <c:pt idx="169">
                  <c:v>2025-M02</c:v>
                </c:pt>
                <c:pt idx="170">
                  <c:v>2025-M03</c:v>
                </c:pt>
                <c:pt idx="171">
                  <c:v>2025-M04</c:v>
                </c:pt>
                <c:pt idx="172">
                  <c:v>2025-M05</c:v>
                </c:pt>
                <c:pt idx="173">
                  <c:v>2025-M06</c:v>
                </c:pt>
                <c:pt idx="174">
                  <c:v>2025-M07</c:v>
                </c:pt>
                <c:pt idx="175">
                  <c:v>2025-M08</c:v>
                </c:pt>
                <c:pt idx="176">
                  <c:v>2025-M09</c:v>
                </c:pt>
                <c:pt idx="177">
                  <c:v>2025-M10</c:v>
                </c:pt>
                <c:pt idx="178">
                  <c:v>2025-M11</c:v>
                </c:pt>
                <c:pt idx="179">
                  <c:v>2025-M12</c:v>
                </c:pt>
                <c:pt idx="180">
                  <c:v>2026-M01</c:v>
                </c:pt>
                <c:pt idx="181">
                  <c:v>2026-M02</c:v>
                </c:pt>
                <c:pt idx="182">
                  <c:v>2026-M03</c:v>
                </c:pt>
                <c:pt idx="183">
                  <c:v>2026-M04</c:v>
                </c:pt>
                <c:pt idx="184">
                  <c:v>2026-M05</c:v>
                </c:pt>
                <c:pt idx="185">
                  <c:v>2026-M06</c:v>
                </c:pt>
                <c:pt idx="186">
                  <c:v>2026-M07</c:v>
                </c:pt>
                <c:pt idx="187">
                  <c:v>2026-M08</c:v>
                </c:pt>
                <c:pt idx="188">
                  <c:v>2026-M09</c:v>
                </c:pt>
                <c:pt idx="189">
                  <c:v>2026-M10</c:v>
                </c:pt>
                <c:pt idx="190">
                  <c:v>2026-M11</c:v>
                </c:pt>
                <c:pt idx="191">
                  <c:v>2026-M12</c:v>
                </c:pt>
              </c:strCache>
            </c:strRef>
          </c:cat>
          <c:val>
            <c:numRef>
              <c:f>Prévision_g!$B$3:$B$180</c:f>
              <c:numCache>
                <c:formatCode>0.00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DD-489B-88BA-468D3339B3FD}"/>
            </c:ext>
          </c:extLst>
        </c:ser>
        <c:ser>
          <c:idx val="1"/>
          <c:order val="1"/>
          <c:tx>
            <c:strRef>
              <c:f>Prévision_g!$E$3:$E$194</c:f>
              <c:strCache>
                <c:ptCount val="192"/>
                <c:pt idx="0">
                  <c:v>34,34</c:v>
                </c:pt>
                <c:pt idx="1">
                  <c:v>34,25</c:v>
                </c:pt>
                <c:pt idx="2">
                  <c:v>33,32</c:v>
                </c:pt>
                <c:pt idx="3">
                  <c:v>32,99</c:v>
                </c:pt>
                <c:pt idx="4">
                  <c:v>32,49</c:v>
                </c:pt>
                <c:pt idx="5">
                  <c:v>32,17</c:v>
                </c:pt>
                <c:pt idx="6">
                  <c:v>31,51</c:v>
                </c:pt>
                <c:pt idx="7">
                  <c:v>31,18</c:v>
                </c:pt>
                <c:pt idx="8">
                  <c:v>32,85</c:v>
                </c:pt>
                <c:pt idx="9">
                  <c:v>32,50</c:v>
                </c:pt>
                <c:pt idx="10">
                  <c:v>31,31</c:v>
                </c:pt>
                <c:pt idx="11">
                  <c:v>31,81</c:v>
                </c:pt>
                <c:pt idx="12">
                  <c:v>34,45</c:v>
                </c:pt>
                <c:pt idx="13">
                  <c:v>34,37</c:v>
                </c:pt>
                <c:pt idx="14">
                  <c:v>33,46</c:v>
                </c:pt>
                <c:pt idx="15">
                  <c:v>33,14</c:v>
                </c:pt>
                <c:pt idx="16">
                  <c:v>32,66</c:v>
                </c:pt>
                <c:pt idx="17">
                  <c:v>32,35</c:v>
                </c:pt>
                <c:pt idx="18">
                  <c:v>31,70</c:v>
                </c:pt>
                <c:pt idx="19">
                  <c:v>31,39</c:v>
                </c:pt>
                <c:pt idx="20">
                  <c:v>33,08</c:v>
                </c:pt>
                <c:pt idx="21">
                  <c:v>32,74</c:v>
                </c:pt>
                <c:pt idx="22">
                  <c:v>31,57</c:v>
                </c:pt>
                <c:pt idx="23">
                  <c:v>32,08</c:v>
                </c:pt>
                <c:pt idx="24">
                  <c:v>34,74</c:v>
                </c:pt>
                <c:pt idx="25">
                  <c:v>34,67</c:v>
                </c:pt>
                <c:pt idx="26">
                  <c:v>33,78</c:v>
                </c:pt>
                <c:pt idx="27">
                  <c:v>33,48</c:v>
                </c:pt>
                <c:pt idx="28">
                  <c:v>33,01</c:v>
                </c:pt>
                <c:pt idx="29">
                  <c:v>32,72</c:v>
                </c:pt>
                <c:pt idx="30">
                  <c:v>32,09</c:v>
                </c:pt>
                <c:pt idx="31">
                  <c:v>31,79</c:v>
                </c:pt>
                <c:pt idx="32">
                  <c:v>33,49</c:v>
                </c:pt>
                <c:pt idx="33">
                  <c:v>33,17</c:v>
                </c:pt>
                <c:pt idx="34">
                  <c:v>32,01</c:v>
                </c:pt>
                <c:pt idx="35">
                  <c:v>32,54</c:v>
                </c:pt>
                <c:pt idx="36">
                  <c:v>35,21</c:v>
                </c:pt>
                <c:pt idx="37">
                  <c:v>35,16</c:v>
                </c:pt>
                <c:pt idx="38">
                  <c:v>34,29</c:v>
                </c:pt>
                <c:pt idx="39">
                  <c:v>34,00</c:v>
                </c:pt>
                <c:pt idx="40">
                  <c:v>33,55</c:v>
                </c:pt>
                <c:pt idx="41">
                  <c:v>33,27</c:v>
                </c:pt>
                <c:pt idx="42">
                  <c:v>32,65</c:v>
                </c:pt>
                <c:pt idx="43">
                  <c:v>32,37</c:v>
                </c:pt>
                <c:pt idx="44">
                  <c:v>34,08</c:v>
                </c:pt>
                <c:pt idx="45">
                  <c:v>33,78</c:v>
                </c:pt>
                <c:pt idx="46">
                  <c:v>32,64</c:v>
                </c:pt>
                <c:pt idx="47">
                  <c:v>33,18</c:v>
                </c:pt>
                <c:pt idx="48">
                  <c:v>35,87</c:v>
                </c:pt>
                <c:pt idx="49">
                  <c:v>35,83</c:v>
                </c:pt>
                <c:pt idx="50">
                  <c:v>34,97</c:v>
                </c:pt>
                <c:pt idx="51">
                  <c:v>34,70</c:v>
                </c:pt>
                <c:pt idx="52">
                  <c:v>34,27</c:v>
                </c:pt>
                <c:pt idx="53">
                  <c:v>34,00</c:v>
                </c:pt>
                <c:pt idx="54">
                  <c:v>33,40</c:v>
                </c:pt>
                <c:pt idx="55">
                  <c:v>33,13</c:v>
                </c:pt>
                <c:pt idx="56">
                  <c:v>34,86</c:v>
                </c:pt>
                <c:pt idx="57">
                  <c:v>34,57</c:v>
                </c:pt>
                <c:pt idx="58">
                  <c:v>33,45</c:v>
                </c:pt>
                <c:pt idx="59">
                  <c:v>34,01</c:v>
                </c:pt>
                <c:pt idx="60">
                  <c:v>36,71</c:v>
                </c:pt>
                <c:pt idx="61">
                  <c:v>36,69</c:v>
                </c:pt>
                <c:pt idx="62">
                  <c:v>35,84</c:v>
                </c:pt>
                <c:pt idx="63">
                  <c:v>35,59</c:v>
                </c:pt>
                <c:pt idx="64">
                  <c:v>35,17</c:v>
                </c:pt>
                <c:pt idx="65">
                  <c:v>34,92</c:v>
                </c:pt>
                <c:pt idx="66">
                  <c:v>34,33</c:v>
                </c:pt>
                <c:pt idx="67">
                  <c:v>34,08</c:v>
                </c:pt>
                <c:pt idx="68">
                  <c:v>35,83</c:v>
                </c:pt>
                <c:pt idx="69">
                  <c:v>35,55</c:v>
                </c:pt>
                <c:pt idx="70">
                  <c:v>34,44</c:v>
                </c:pt>
                <c:pt idx="71">
                  <c:v>35,01</c:v>
                </c:pt>
                <c:pt idx="72">
                  <c:v>37,73</c:v>
                </c:pt>
                <c:pt idx="73">
                  <c:v>37,73</c:v>
                </c:pt>
                <c:pt idx="74">
                  <c:v>36,90</c:v>
                </c:pt>
                <c:pt idx="75">
                  <c:v>36,65</c:v>
                </c:pt>
                <c:pt idx="76">
                  <c:v>36,25</c:v>
                </c:pt>
                <c:pt idx="77">
                  <c:v>36,02</c:v>
                </c:pt>
                <c:pt idx="78">
                  <c:v>35,44</c:v>
                </c:pt>
                <c:pt idx="79">
                  <c:v>35,21</c:v>
                </c:pt>
                <c:pt idx="80">
                  <c:v>36,97</c:v>
                </c:pt>
                <c:pt idx="81">
                  <c:v>36,71</c:v>
                </c:pt>
                <c:pt idx="82">
                  <c:v>35,62</c:v>
                </c:pt>
                <c:pt idx="83">
                  <c:v>36,21</c:v>
                </c:pt>
                <c:pt idx="84">
                  <c:v>38,94</c:v>
                </c:pt>
                <c:pt idx="85">
                  <c:v>38,95</c:v>
                </c:pt>
                <c:pt idx="86">
                  <c:v>38,13</c:v>
                </c:pt>
                <c:pt idx="87">
                  <c:v>37,91</c:v>
                </c:pt>
                <c:pt idx="88">
                  <c:v>37,52</c:v>
                </c:pt>
                <c:pt idx="89">
                  <c:v>37,30</c:v>
                </c:pt>
                <c:pt idx="90">
                  <c:v>36,74</c:v>
                </c:pt>
                <c:pt idx="91">
                  <c:v>36,52</c:v>
                </c:pt>
                <c:pt idx="92">
                  <c:v>38,30</c:v>
                </c:pt>
                <c:pt idx="93">
                  <c:v>38,05</c:v>
                </c:pt>
                <c:pt idx="94">
                  <c:v>36,98</c:v>
                </c:pt>
                <c:pt idx="95">
                  <c:v>37,58</c:v>
                </c:pt>
                <c:pt idx="96">
                  <c:v>40,33</c:v>
                </c:pt>
                <c:pt idx="97">
                  <c:v>40,35</c:v>
                </c:pt>
                <c:pt idx="98">
                  <c:v>39,55</c:v>
                </c:pt>
                <c:pt idx="99">
                  <c:v>39,34</c:v>
                </c:pt>
                <c:pt idx="100">
                  <c:v>38,97</c:v>
                </c:pt>
                <c:pt idx="101">
                  <c:v>38,76</c:v>
                </c:pt>
                <c:pt idx="102">
                  <c:v>38,22</c:v>
                </c:pt>
                <c:pt idx="103">
                  <c:v>38,02</c:v>
                </c:pt>
                <c:pt idx="104">
                  <c:v>39,81</c:v>
                </c:pt>
                <c:pt idx="105">
                  <c:v>39,58</c:v>
                </c:pt>
                <c:pt idx="106">
                  <c:v>38,52</c:v>
                </c:pt>
                <c:pt idx="107">
                  <c:v>39,14</c:v>
                </c:pt>
                <c:pt idx="108">
                  <c:v>41,90</c:v>
                </c:pt>
                <c:pt idx="109">
                  <c:v>41,94</c:v>
                </c:pt>
                <c:pt idx="110">
                  <c:v>41,16</c:v>
                </c:pt>
                <c:pt idx="111">
                  <c:v>40,96</c:v>
                </c:pt>
                <c:pt idx="112">
                  <c:v>40,60</c:v>
                </c:pt>
                <c:pt idx="113">
                  <c:v>40,41</c:v>
                </c:pt>
                <c:pt idx="114">
                  <c:v>39,89</c:v>
                </c:pt>
                <c:pt idx="115">
                  <c:v>39,70</c:v>
                </c:pt>
                <c:pt idx="116">
                  <c:v>41,51</c:v>
                </c:pt>
                <c:pt idx="117">
                  <c:v>41,29</c:v>
                </c:pt>
                <c:pt idx="118">
                  <c:v>40,24</c:v>
                </c:pt>
                <c:pt idx="119">
                  <c:v>40,88</c:v>
                </c:pt>
                <c:pt idx="120">
                  <c:v>43,66</c:v>
                </c:pt>
                <c:pt idx="121">
                  <c:v>43,71</c:v>
                </c:pt>
                <c:pt idx="122">
                  <c:v>42,94</c:v>
                </c:pt>
                <c:pt idx="123">
                  <c:v>42,76</c:v>
                </c:pt>
                <c:pt idx="124">
                  <c:v>42,42</c:v>
                </c:pt>
                <c:pt idx="125">
                  <c:v>42,24</c:v>
                </c:pt>
                <c:pt idx="126">
                  <c:v>41,74</c:v>
                </c:pt>
                <c:pt idx="127">
                  <c:v>41,56</c:v>
                </c:pt>
                <c:pt idx="128">
                  <c:v>43,38</c:v>
                </c:pt>
                <c:pt idx="129">
                  <c:v>43,18</c:v>
                </c:pt>
                <c:pt idx="130">
                  <c:v>42,15</c:v>
                </c:pt>
                <c:pt idx="131">
                  <c:v>42,80</c:v>
                </c:pt>
                <c:pt idx="132">
                  <c:v>45,60</c:v>
                </c:pt>
                <c:pt idx="133">
                  <c:v>45,67</c:v>
                </c:pt>
                <c:pt idx="134">
                  <c:v>44,91</c:v>
                </c:pt>
                <c:pt idx="135">
                  <c:v>44,75</c:v>
                </c:pt>
                <c:pt idx="136">
                  <c:v>44,42</c:v>
                </c:pt>
                <c:pt idx="137">
                  <c:v>44,26</c:v>
                </c:pt>
                <c:pt idx="138">
                  <c:v>43,77</c:v>
                </c:pt>
                <c:pt idx="139">
                  <c:v>43,60</c:v>
                </c:pt>
                <c:pt idx="140">
                  <c:v>45,44</c:v>
                </c:pt>
                <c:pt idx="141">
                  <c:v>45,26</c:v>
                </c:pt>
                <c:pt idx="142">
                  <c:v>44,24</c:v>
                </c:pt>
                <c:pt idx="143">
                  <c:v>44,91</c:v>
                </c:pt>
                <c:pt idx="144">
                  <c:v>47,72</c:v>
                </c:pt>
                <c:pt idx="145">
                  <c:v>47,81</c:v>
                </c:pt>
                <c:pt idx="146">
                  <c:v>47,07</c:v>
                </c:pt>
                <c:pt idx="147">
                  <c:v>46,91</c:v>
                </c:pt>
                <c:pt idx="148">
                  <c:v>46,60</c:v>
                </c:pt>
                <c:pt idx="149">
                  <c:v>46,46</c:v>
                </c:pt>
                <c:pt idx="150">
                  <c:v>45,98</c:v>
                </c:pt>
                <c:pt idx="151">
                  <c:v>45,83</c:v>
                </c:pt>
                <c:pt idx="152">
                  <c:v>47,69</c:v>
                </c:pt>
                <c:pt idx="153">
                  <c:v>47,52</c:v>
                </c:pt>
                <c:pt idx="154">
                  <c:v>46,52</c:v>
                </c:pt>
                <c:pt idx="155">
                  <c:v>47,20</c:v>
                </c:pt>
                <c:pt idx="156">
                  <c:v>50,03</c:v>
                </c:pt>
                <c:pt idx="157">
                  <c:v>50,13</c:v>
                </c:pt>
                <c:pt idx="158">
                  <c:v>49,40</c:v>
                </c:pt>
                <c:pt idx="159">
                  <c:v>49,27</c:v>
                </c:pt>
                <c:pt idx="160">
                  <c:v>48,97</c:v>
                </c:pt>
                <c:pt idx="161">
                  <c:v>48,84</c:v>
                </c:pt>
                <c:pt idx="162">
                  <c:v>48,38</c:v>
                </c:pt>
                <c:pt idx="163">
                  <c:v>48,25</c:v>
                </c:pt>
                <c:pt idx="164">
                  <c:v>50,12</c:v>
                </c:pt>
                <c:pt idx="165">
                  <c:v>49,96</c:v>
                </c:pt>
                <c:pt idx="166">
                  <c:v>48,98</c:v>
                </c:pt>
                <c:pt idx="167">
                  <c:v>49,67</c:v>
                </c:pt>
                <c:pt idx="168">
                  <c:v>52,51</c:v>
                </c:pt>
                <c:pt idx="169">
                  <c:v>52,63</c:v>
                </c:pt>
                <c:pt idx="170">
                  <c:v>51,92</c:v>
                </c:pt>
                <c:pt idx="171">
                  <c:v>51,80</c:v>
                </c:pt>
                <c:pt idx="172">
                  <c:v>51,52</c:v>
                </c:pt>
                <c:pt idx="173">
                  <c:v>51,41</c:v>
                </c:pt>
                <c:pt idx="174">
                  <c:v>50,96</c:v>
                </c:pt>
                <c:pt idx="175">
                  <c:v>50,84</c:v>
                </c:pt>
                <c:pt idx="176">
                  <c:v>52,73</c:v>
                </c:pt>
                <c:pt idx="177">
                  <c:v>63,96</c:v>
                </c:pt>
                <c:pt idx="178">
                  <c:v>51,62</c:v>
                </c:pt>
                <c:pt idx="179">
                  <c:v>52,33</c:v>
                </c:pt>
                <c:pt idx="180">
                  <c:v>55,19</c:v>
                </c:pt>
                <c:pt idx="181">
                  <c:v>55,32</c:v>
                </c:pt>
                <c:pt idx="182">
                  <c:v>54,63</c:v>
                </c:pt>
                <c:pt idx="183">
                  <c:v>54,52</c:v>
                </c:pt>
                <c:pt idx="184">
                  <c:v>54,25</c:v>
                </c:pt>
                <c:pt idx="185">
                  <c:v>54,15</c:v>
                </c:pt>
                <c:pt idx="186">
                  <c:v>53,72</c:v>
                </c:pt>
                <c:pt idx="187">
                  <c:v>53,62</c:v>
                </c:pt>
                <c:pt idx="188">
                  <c:v>55,52</c:v>
                </c:pt>
                <c:pt idx="189">
                  <c:v>55,40</c:v>
                </c:pt>
                <c:pt idx="190">
                  <c:v>54,44</c:v>
                </c:pt>
                <c:pt idx="191">
                  <c:v>55,17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Prévision_g!$A$3:$A$194</c:f>
              <c:strCache>
                <c:ptCount val="192"/>
                <c:pt idx="0">
                  <c:v>2011-M01</c:v>
                </c:pt>
                <c:pt idx="1">
                  <c:v>2011-M02</c:v>
                </c:pt>
                <c:pt idx="2">
                  <c:v>2011-M03</c:v>
                </c:pt>
                <c:pt idx="3">
                  <c:v>2011-M04</c:v>
                </c:pt>
                <c:pt idx="4">
                  <c:v>2011-M05</c:v>
                </c:pt>
                <c:pt idx="5">
                  <c:v>2011-M06</c:v>
                </c:pt>
                <c:pt idx="6">
                  <c:v>2011-M07</c:v>
                </c:pt>
                <c:pt idx="7">
                  <c:v>2011-M08</c:v>
                </c:pt>
                <c:pt idx="8">
                  <c:v>2011-M09</c:v>
                </c:pt>
                <c:pt idx="9">
                  <c:v>2011-M10</c:v>
                </c:pt>
                <c:pt idx="10">
                  <c:v>2011-M11</c:v>
                </c:pt>
                <c:pt idx="11">
                  <c:v>2011-M12</c:v>
                </c:pt>
                <c:pt idx="12">
                  <c:v>2012-M01</c:v>
                </c:pt>
                <c:pt idx="13">
                  <c:v>2012-M02</c:v>
                </c:pt>
                <c:pt idx="14">
                  <c:v>2012-M03</c:v>
                </c:pt>
                <c:pt idx="15">
                  <c:v>2012-M04</c:v>
                </c:pt>
                <c:pt idx="16">
                  <c:v>2012-M05</c:v>
                </c:pt>
                <c:pt idx="17">
                  <c:v>2012-M06</c:v>
                </c:pt>
                <c:pt idx="18">
                  <c:v>2012-M07</c:v>
                </c:pt>
                <c:pt idx="19">
                  <c:v>2012-M08</c:v>
                </c:pt>
                <c:pt idx="20">
                  <c:v>2012-M09</c:v>
                </c:pt>
                <c:pt idx="21">
                  <c:v>2012-M10</c:v>
                </c:pt>
                <c:pt idx="22">
                  <c:v>2012-M11</c:v>
                </c:pt>
                <c:pt idx="23">
                  <c:v>2012-M12</c:v>
                </c:pt>
                <c:pt idx="24">
                  <c:v>2013-M01</c:v>
                </c:pt>
                <c:pt idx="25">
                  <c:v>2013-M02</c:v>
                </c:pt>
                <c:pt idx="26">
                  <c:v>2013-M03</c:v>
                </c:pt>
                <c:pt idx="27">
                  <c:v>2013-M04</c:v>
                </c:pt>
                <c:pt idx="28">
                  <c:v>2013-M05</c:v>
                </c:pt>
                <c:pt idx="29">
                  <c:v>2013-M06</c:v>
                </c:pt>
                <c:pt idx="30">
                  <c:v>2013-M07</c:v>
                </c:pt>
                <c:pt idx="31">
                  <c:v>2013-M08</c:v>
                </c:pt>
                <c:pt idx="32">
                  <c:v>2013-M09</c:v>
                </c:pt>
                <c:pt idx="33">
                  <c:v>2013-M10</c:v>
                </c:pt>
                <c:pt idx="34">
                  <c:v>2013-M11</c:v>
                </c:pt>
                <c:pt idx="35">
                  <c:v>2013-M12</c:v>
                </c:pt>
                <c:pt idx="36">
                  <c:v>2014-M01</c:v>
                </c:pt>
                <c:pt idx="37">
                  <c:v>2014-M02</c:v>
                </c:pt>
                <c:pt idx="38">
                  <c:v>2014-M03</c:v>
                </c:pt>
                <c:pt idx="39">
                  <c:v>2014-M04</c:v>
                </c:pt>
                <c:pt idx="40">
                  <c:v>2014-M05</c:v>
                </c:pt>
                <c:pt idx="41">
                  <c:v>2014-M06</c:v>
                </c:pt>
                <c:pt idx="42">
                  <c:v>2014-M07</c:v>
                </c:pt>
                <c:pt idx="43">
                  <c:v>2014-M08</c:v>
                </c:pt>
                <c:pt idx="44">
                  <c:v>2014-M09</c:v>
                </c:pt>
                <c:pt idx="45">
                  <c:v>2014-M10</c:v>
                </c:pt>
                <c:pt idx="46">
                  <c:v>2014-M11</c:v>
                </c:pt>
                <c:pt idx="47">
                  <c:v>2014-M12</c:v>
                </c:pt>
                <c:pt idx="48">
                  <c:v>2015-M01</c:v>
                </c:pt>
                <c:pt idx="49">
                  <c:v>2015-M02</c:v>
                </c:pt>
                <c:pt idx="50">
                  <c:v>2015-M03</c:v>
                </c:pt>
                <c:pt idx="51">
                  <c:v>2015-M04</c:v>
                </c:pt>
                <c:pt idx="52">
                  <c:v>2015-M05</c:v>
                </c:pt>
                <c:pt idx="53">
                  <c:v>2015-M06</c:v>
                </c:pt>
                <c:pt idx="54">
                  <c:v>2015-M07</c:v>
                </c:pt>
                <c:pt idx="55">
                  <c:v>2015-M08</c:v>
                </c:pt>
                <c:pt idx="56">
                  <c:v>2015-M09</c:v>
                </c:pt>
                <c:pt idx="57">
                  <c:v>2015-M10</c:v>
                </c:pt>
                <c:pt idx="58">
                  <c:v>2015-M11</c:v>
                </c:pt>
                <c:pt idx="59">
                  <c:v>2015-M12</c:v>
                </c:pt>
                <c:pt idx="60">
                  <c:v>2016-M01</c:v>
                </c:pt>
                <c:pt idx="61">
                  <c:v>2016-M02</c:v>
                </c:pt>
                <c:pt idx="62">
                  <c:v>2016-M03</c:v>
                </c:pt>
                <c:pt idx="63">
                  <c:v>2016-M04</c:v>
                </c:pt>
                <c:pt idx="64">
                  <c:v>2016-M05</c:v>
                </c:pt>
                <c:pt idx="65">
                  <c:v>2016-M06</c:v>
                </c:pt>
                <c:pt idx="66">
                  <c:v>2016-M07</c:v>
                </c:pt>
                <c:pt idx="67">
                  <c:v>2016-M08</c:v>
                </c:pt>
                <c:pt idx="68">
                  <c:v>2016-M09</c:v>
                </c:pt>
                <c:pt idx="69">
                  <c:v>2016-M10</c:v>
                </c:pt>
                <c:pt idx="70">
                  <c:v>2016-M11</c:v>
                </c:pt>
                <c:pt idx="71">
                  <c:v>2016-M12</c:v>
                </c:pt>
                <c:pt idx="72">
                  <c:v>2017-M01</c:v>
                </c:pt>
                <c:pt idx="73">
                  <c:v>2017-M02</c:v>
                </c:pt>
                <c:pt idx="74">
                  <c:v>2017-M03</c:v>
                </c:pt>
                <c:pt idx="75">
                  <c:v>2017-M04</c:v>
                </c:pt>
                <c:pt idx="76">
                  <c:v>2017-M05</c:v>
                </c:pt>
                <c:pt idx="77">
                  <c:v>2017-M06</c:v>
                </c:pt>
                <c:pt idx="78">
                  <c:v>2017-M07</c:v>
                </c:pt>
                <c:pt idx="79">
                  <c:v>2017-M08</c:v>
                </c:pt>
                <c:pt idx="80">
                  <c:v>2017-M09</c:v>
                </c:pt>
                <c:pt idx="81">
                  <c:v>2017-M10</c:v>
                </c:pt>
                <c:pt idx="82">
                  <c:v>2017-M11</c:v>
                </c:pt>
                <c:pt idx="83">
                  <c:v>2017-M12</c:v>
                </c:pt>
                <c:pt idx="84">
                  <c:v>2018-M01</c:v>
                </c:pt>
                <c:pt idx="85">
                  <c:v>2018-M02</c:v>
                </c:pt>
                <c:pt idx="86">
                  <c:v>2018-M03</c:v>
                </c:pt>
                <c:pt idx="87">
                  <c:v>2018-M04</c:v>
                </c:pt>
                <c:pt idx="88">
                  <c:v>2018-M05</c:v>
                </c:pt>
                <c:pt idx="89">
                  <c:v>2018-M06</c:v>
                </c:pt>
                <c:pt idx="90">
                  <c:v>2018-M07</c:v>
                </c:pt>
                <c:pt idx="91">
                  <c:v>2018-M08</c:v>
                </c:pt>
                <c:pt idx="92">
                  <c:v>2018-M09</c:v>
                </c:pt>
                <c:pt idx="93">
                  <c:v>2018-M10</c:v>
                </c:pt>
                <c:pt idx="94">
                  <c:v>2018-M11</c:v>
                </c:pt>
                <c:pt idx="95">
                  <c:v>2018-M12</c:v>
                </c:pt>
                <c:pt idx="96">
                  <c:v>2019-M01</c:v>
                </c:pt>
                <c:pt idx="97">
                  <c:v>2019-M02</c:v>
                </c:pt>
                <c:pt idx="98">
                  <c:v>2019-M03</c:v>
                </c:pt>
                <c:pt idx="99">
                  <c:v>2019-M04</c:v>
                </c:pt>
                <c:pt idx="100">
                  <c:v>2019-M05</c:v>
                </c:pt>
                <c:pt idx="101">
                  <c:v>2019-M06</c:v>
                </c:pt>
                <c:pt idx="102">
                  <c:v>2019-M07</c:v>
                </c:pt>
                <c:pt idx="103">
                  <c:v>2019-M08</c:v>
                </c:pt>
                <c:pt idx="104">
                  <c:v>2019-M09</c:v>
                </c:pt>
                <c:pt idx="105">
                  <c:v>2019-M10</c:v>
                </c:pt>
                <c:pt idx="106">
                  <c:v>2019-M11</c:v>
                </c:pt>
                <c:pt idx="107">
                  <c:v>2019-M12</c:v>
                </c:pt>
                <c:pt idx="108">
                  <c:v>2020-M01</c:v>
                </c:pt>
                <c:pt idx="109">
                  <c:v>2020-M02</c:v>
                </c:pt>
                <c:pt idx="110">
                  <c:v>2020-M03</c:v>
                </c:pt>
                <c:pt idx="111">
                  <c:v>2020-M04</c:v>
                </c:pt>
                <c:pt idx="112">
                  <c:v>2020-M05</c:v>
                </c:pt>
                <c:pt idx="113">
                  <c:v>2020-M06</c:v>
                </c:pt>
                <c:pt idx="114">
                  <c:v>2020-M07</c:v>
                </c:pt>
                <c:pt idx="115">
                  <c:v>2020-M08</c:v>
                </c:pt>
                <c:pt idx="116">
                  <c:v>2020-M09</c:v>
                </c:pt>
                <c:pt idx="117">
                  <c:v>2020-M10</c:v>
                </c:pt>
                <c:pt idx="118">
                  <c:v>2020-M11</c:v>
                </c:pt>
                <c:pt idx="119">
                  <c:v>2020-M12</c:v>
                </c:pt>
                <c:pt idx="120">
                  <c:v>2021-M01</c:v>
                </c:pt>
                <c:pt idx="121">
                  <c:v>2021-M02</c:v>
                </c:pt>
                <c:pt idx="122">
                  <c:v>2021-M03</c:v>
                </c:pt>
                <c:pt idx="123">
                  <c:v>2021-M04</c:v>
                </c:pt>
                <c:pt idx="124">
                  <c:v>2021-M05</c:v>
                </c:pt>
                <c:pt idx="125">
                  <c:v>2021-M06</c:v>
                </c:pt>
                <c:pt idx="126">
                  <c:v>2021-M07</c:v>
                </c:pt>
                <c:pt idx="127">
                  <c:v>2021-M08</c:v>
                </c:pt>
                <c:pt idx="128">
                  <c:v>2021-M09</c:v>
                </c:pt>
                <c:pt idx="129">
                  <c:v>2021-M10</c:v>
                </c:pt>
                <c:pt idx="130">
                  <c:v>2021-M11</c:v>
                </c:pt>
                <c:pt idx="131">
                  <c:v>2021-M12</c:v>
                </c:pt>
                <c:pt idx="132">
                  <c:v>2022-M01</c:v>
                </c:pt>
                <c:pt idx="133">
                  <c:v>2022-M02</c:v>
                </c:pt>
                <c:pt idx="134">
                  <c:v>2022-M03</c:v>
                </c:pt>
                <c:pt idx="135">
                  <c:v>2022-M04</c:v>
                </c:pt>
                <c:pt idx="136">
                  <c:v>2022-M05</c:v>
                </c:pt>
                <c:pt idx="137">
                  <c:v>2022-M06</c:v>
                </c:pt>
                <c:pt idx="138">
                  <c:v>2022-M07</c:v>
                </c:pt>
                <c:pt idx="139">
                  <c:v>2022-M08</c:v>
                </c:pt>
                <c:pt idx="140">
                  <c:v>2022-M09</c:v>
                </c:pt>
                <c:pt idx="141">
                  <c:v>2022-M10</c:v>
                </c:pt>
                <c:pt idx="142">
                  <c:v>2022-M11</c:v>
                </c:pt>
                <c:pt idx="143">
                  <c:v>2022-M12</c:v>
                </c:pt>
                <c:pt idx="144">
                  <c:v>2023-M01</c:v>
                </c:pt>
                <c:pt idx="145">
                  <c:v>2023-M02</c:v>
                </c:pt>
                <c:pt idx="146">
                  <c:v>2023-M03</c:v>
                </c:pt>
                <c:pt idx="147">
                  <c:v>2023-M04</c:v>
                </c:pt>
                <c:pt idx="148">
                  <c:v>2023-M05</c:v>
                </c:pt>
                <c:pt idx="149">
                  <c:v>2023-M06</c:v>
                </c:pt>
                <c:pt idx="150">
                  <c:v>2023-M07</c:v>
                </c:pt>
                <c:pt idx="151">
                  <c:v>2023-M08</c:v>
                </c:pt>
                <c:pt idx="152">
                  <c:v>2023-M09</c:v>
                </c:pt>
                <c:pt idx="153">
                  <c:v>2023-M10</c:v>
                </c:pt>
                <c:pt idx="154">
                  <c:v>2023-M11</c:v>
                </c:pt>
                <c:pt idx="155">
                  <c:v>2023-M12</c:v>
                </c:pt>
                <c:pt idx="156">
                  <c:v>2024-M01</c:v>
                </c:pt>
                <c:pt idx="157">
                  <c:v>2024-M02</c:v>
                </c:pt>
                <c:pt idx="158">
                  <c:v>2024-M03</c:v>
                </c:pt>
                <c:pt idx="159">
                  <c:v>2024-M04</c:v>
                </c:pt>
                <c:pt idx="160">
                  <c:v>2024-M05</c:v>
                </c:pt>
                <c:pt idx="161">
                  <c:v>2024-M06</c:v>
                </c:pt>
                <c:pt idx="162">
                  <c:v>2024-M07</c:v>
                </c:pt>
                <c:pt idx="163">
                  <c:v>2024-M08</c:v>
                </c:pt>
                <c:pt idx="164">
                  <c:v>2024-M09</c:v>
                </c:pt>
                <c:pt idx="165">
                  <c:v>2024-M10</c:v>
                </c:pt>
                <c:pt idx="166">
                  <c:v>2024-M11</c:v>
                </c:pt>
                <c:pt idx="167">
                  <c:v>2024-M12</c:v>
                </c:pt>
                <c:pt idx="168">
                  <c:v>2025-M01</c:v>
                </c:pt>
                <c:pt idx="169">
                  <c:v>2025-M02</c:v>
                </c:pt>
                <c:pt idx="170">
                  <c:v>2025-M03</c:v>
                </c:pt>
                <c:pt idx="171">
                  <c:v>2025-M04</c:v>
                </c:pt>
                <c:pt idx="172">
                  <c:v>2025-M05</c:v>
                </c:pt>
                <c:pt idx="173">
                  <c:v>2025-M06</c:v>
                </c:pt>
                <c:pt idx="174">
                  <c:v>2025-M07</c:v>
                </c:pt>
                <c:pt idx="175">
                  <c:v>2025-M08</c:v>
                </c:pt>
                <c:pt idx="176">
                  <c:v>2025-M09</c:v>
                </c:pt>
                <c:pt idx="177">
                  <c:v>2025-M10</c:v>
                </c:pt>
                <c:pt idx="178">
                  <c:v>2025-M11</c:v>
                </c:pt>
                <c:pt idx="179">
                  <c:v>2025-M12</c:v>
                </c:pt>
                <c:pt idx="180">
                  <c:v>2026-M01</c:v>
                </c:pt>
                <c:pt idx="181">
                  <c:v>2026-M02</c:v>
                </c:pt>
                <c:pt idx="182">
                  <c:v>2026-M03</c:v>
                </c:pt>
                <c:pt idx="183">
                  <c:v>2026-M04</c:v>
                </c:pt>
                <c:pt idx="184">
                  <c:v>2026-M05</c:v>
                </c:pt>
                <c:pt idx="185">
                  <c:v>2026-M06</c:v>
                </c:pt>
                <c:pt idx="186">
                  <c:v>2026-M07</c:v>
                </c:pt>
                <c:pt idx="187">
                  <c:v>2026-M08</c:v>
                </c:pt>
                <c:pt idx="188">
                  <c:v>2026-M09</c:v>
                </c:pt>
                <c:pt idx="189">
                  <c:v>2026-M10</c:v>
                </c:pt>
                <c:pt idx="190">
                  <c:v>2026-M11</c:v>
                </c:pt>
                <c:pt idx="191">
                  <c:v>2026-M12</c:v>
                </c:pt>
              </c:strCache>
            </c:strRef>
          </c:cat>
          <c:val>
            <c:numRef>
              <c:f>Prévision_g!$E$3:$E$194</c:f>
              <c:numCache>
                <c:formatCode>0.00</c:formatCode>
                <c:ptCount val="192"/>
                <c:pt idx="177">
                  <c:v>63.958773460341298</c:v>
                </c:pt>
                <c:pt idx="178">
                  <c:v>51.618655605769966</c:v>
                </c:pt>
                <c:pt idx="179">
                  <c:v>52.329721369349279</c:v>
                </c:pt>
                <c:pt idx="180">
                  <c:v>55.18608368458171</c:v>
                </c:pt>
                <c:pt idx="181">
                  <c:v>55.317657558732648</c:v>
                </c:pt>
                <c:pt idx="182">
                  <c:v>54.625109097683428</c:v>
                </c:pt>
                <c:pt idx="183">
                  <c:v>54.518749816098314</c:v>
                </c:pt>
                <c:pt idx="184">
                  <c:v>54.253050183912606</c:v>
                </c:pt>
                <c:pt idx="185">
                  <c:v>54.154684386306421</c:v>
                </c:pt>
                <c:pt idx="186">
                  <c:v>53.721605576403206</c:v>
                </c:pt>
                <c:pt idx="187">
                  <c:v>53.621275313551017</c:v>
                </c:pt>
                <c:pt idx="188">
                  <c:v>55.522165249424852</c:v>
                </c:pt>
                <c:pt idx="189">
                  <c:v>55.400041862031543</c:v>
                </c:pt>
                <c:pt idx="190">
                  <c:v>54.443428060086724</c:v>
                </c:pt>
                <c:pt idx="191">
                  <c:v>55.16976286395964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DD-489B-88BA-468D3339B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824175"/>
        <c:axId val="1011817103"/>
      </c:lineChart>
      <c:catAx>
        <c:axId val="101182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17103"/>
        <c:crosses val="autoZero"/>
        <c:auto val="1"/>
        <c:lblAlgn val="ctr"/>
        <c:lblOffset val="100"/>
        <c:noMultiLvlLbl val="0"/>
      </c:catAx>
      <c:valAx>
        <c:axId val="10118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2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AJUSTEMENT LINEAIRE</a:t>
            </a:r>
            <a:endParaRPr lang="fr-FR" b="1">
              <a:solidFill>
                <a:srgbClr val="2E402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linéaire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4308772321262032E-2"/>
                  <c:y val="4.64820615918760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6-4AE5-901A-B1BEA3BD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AJUSTEMENT QUADRATIQUE</a:t>
            </a:r>
            <a:endParaRPr lang="fr-FR" b="1">
              <a:solidFill>
                <a:srgbClr val="2E402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quadratique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2.5589090173972699E-2"/>
                  <c:y val="0.18998932658364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FB-4B78-B44C-B5ECFF1D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rgbClr val="2E4022"/>
                </a:solidFill>
                <a:effectLst/>
              </a:rPr>
              <a:t>AJUSTEMENT EXPONENTIEL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exponentiel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1.0573327148940475E-2"/>
                  <c:y val="4.11058524140738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8-4379-A2C9-20A3F9D06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spc="0" baseline="0">
                <a:solidFill>
                  <a:srgbClr val="2E4022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spc="0" baseline="0">
                <a:solidFill>
                  <a:srgbClr val="2E4022"/>
                </a:solidFill>
                <a:effectLst/>
                <a:latin typeface="+mn-lt"/>
                <a:ea typeface="+mn-ea"/>
                <a:cs typeface="+mn-cs"/>
              </a:rPr>
              <a:t>ETUDE DE LA VARIABILITE DES VALEURS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spc="0" baseline="0">
              <a:solidFill>
                <a:srgbClr val="2E4022"/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Série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E4022"/>
              </a:solidFill>
              <a:ln w="9525">
                <a:solidFill>
                  <a:srgbClr val="2E4022"/>
                </a:solidFill>
              </a:ln>
              <a:effectLst/>
            </c:spPr>
          </c:marker>
          <c:trendline>
            <c:name>Ajustement linéaire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0661848797831956E-2"/>
                  <c:y val="7.05613791949857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xVal>
          <c:yVal>
            <c:numRef>
              <c:f>'dataset 2011-2025'!$AC$4:$AC$18</c:f>
              <c:numCache>
                <c:formatCode>0.00</c:formatCode>
                <c:ptCount val="15"/>
                <c:pt idx="0">
                  <c:v>4.9413957205092043</c:v>
                </c:pt>
                <c:pt idx="1">
                  <c:v>3.5342467372836319</c:v>
                </c:pt>
                <c:pt idx="2">
                  <c:v>3.3840125549740812</c:v>
                </c:pt>
                <c:pt idx="3">
                  <c:v>3.6831609122539777</c:v>
                </c:pt>
                <c:pt idx="4">
                  <c:v>1.273528290049168</c:v>
                </c:pt>
                <c:pt idx="5">
                  <c:v>4.8773615362771112</c:v>
                </c:pt>
                <c:pt idx="6">
                  <c:v>1.8653483067662071</c:v>
                </c:pt>
                <c:pt idx="7">
                  <c:v>2.8190497808067776</c:v>
                </c:pt>
                <c:pt idx="8">
                  <c:v>1.4032007063218794</c:v>
                </c:pt>
                <c:pt idx="9">
                  <c:v>3.0460451362746492</c:v>
                </c:pt>
                <c:pt idx="10">
                  <c:v>4.6510667832468151</c:v>
                </c:pt>
                <c:pt idx="11">
                  <c:v>3.3208644916982424</c:v>
                </c:pt>
                <c:pt idx="12">
                  <c:v>9.28628902677975</c:v>
                </c:pt>
                <c:pt idx="13">
                  <c:v>6.2267667617757727</c:v>
                </c:pt>
                <c:pt idx="14">
                  <c:v>3.8059249861236113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D2-4871-8582-192C4E37B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15855"/>
        <c:axId val="1011821263"/>
      </c:scatterChart>
      <c:valAx>
        <c:axId val="101181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Moyenne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21263"/>
        <c:crosses val="autoZero"/>
        <c:crossBetween val="midCat"/>
      </c:valAx>
      <c:valAx>
        <c:axId val="1011821263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Ecart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1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2E4022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2E4022"/>
                </a:solidFill>
                <a:effectLst/>
                <a:latin typeface="+mn-lt"/>
                <a:ea typeface="+mn-ea"/>
                <a:cs typeface="+mn-cs"/>
              </a:rPr>
              <a:t>TENDANCE DE L'URANIM SUR LES 15 DERNIERES ANNEES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Moyennes par années</c:v>
          </c:tx>
          <c:spPr>
            <a:ln>
              <a:solidFill>
                <a:srgbClr val="2E4022"/>
              </a:solidFill>
            </a:ln>
          </c:spPr>
          <c:marker>
            <c:symbol val="none"/>
          </c:marker>
          <c:cat>
            <c:numRef>
              <c:f>'dataset 2011-2025'!$G$4:$G$18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DD-47A4-82BC-EB677B007BD1}"/>
            </c:ext>
          </c:extLst>
        </c:ser>
        <c:ser>
          <c:idx val="0"/>
          <c:order val="1"/>
          <c:tx>
            <c:v>Moyennes par années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cat>
            <c:numRef>
              <c:f>'dataset 2011-2025'!$G$4:$G$18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DD-47A4-82BC-EB677B007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619207"/>
        <c:axId val="1175245831"/>
      </c:lineChart>
      <c:catAx>
        <c:axId val="1157619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5245831"/>
        <c:crosses val="autoZero"/>
        <c:auto val="1"/>
        <c:lblAlgn val="ctr"/>
        <c:lblOffset val="100"/>
        <c:noMultiLvlLbl val="0"/>
      </c:catAx>
      <c:valAx>
        <c:axId val="1175245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61920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680295518615726"/>
          <c:y val="0.92455403071420983"/>
          <c:w val="0.28233559928999397"/>
          <c:h val="5.4528079235852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SERIE</a:t>
            </a:r>
            <a:r>
              <a:rPr lang="fr-FR" baseline="0"/>
              <a:t> ET PREVISIONS POUR LES 14 PROCHAINS MOIS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Série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cat>
            <c:multiLvlStrRef>
              <c:f>'Additf exponentiel'!$R$3:$S$194</c:f>
              <c:multiLvlStrCache>
                <c:ptCount val="192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  <c:pt idx="178">
                    <c:v>Novembre</c:v>
                  </c:pt>
                  <c:pt idx="179">
                    <c:v>Décembre</c:v>
                  </c:pt>
                  <c:pt idx="180">
                    <c:v>Janvier</c:v>
                  </c:pt>
                  <c:pt idx="181">
                    <c:v>Février</c:v>
                  </c:pt>
                  <c:pt idx="182">
                    <c:v>Mars</c:v>
                  </c:pt>
                  <c:pt idx="183">
                    <c:v>Avril</c:v>
                  </c:pt>
                  <c:pt idx="184">
                    <c:v>Mai</c:v>
                  </c:pt>
                  <c:pt idx="185">
                    <c:v>Juin</c:v>
                  </c:pt>
                  <c:pt idx="186">
                    <c:v>Juillet</c:v>
                  </c:pt>
                  <c:pt idx="187">
                    <c:v>Aout</c:v>
                  </c:pt>
                  <c:pt idx="188">
                    <c:v>Septembre</c:v>
                  </c:pt>
                  <c:pt idx="189">
                    <c:v>Octobre</c:v>
                  </c:pt>
                  <c:pt idx="190">
                    <c:v>Novembre</c:v>
                  </c:pt>
                  <c:pt idx="191">
                    <c:v>Décembre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  <c:pt idx="180">
                    <c:v>2026</c:v>
                  </c:pt>
                </c:lvl>
              </c:multiLvlStrCache>
            </c:multiLvlStrRef>
          </c:cat>
          <c:val>
            <c:numRef>
              <c:f>Prévision_g!$B$3:$B$180</c:f>
              <c:numCache>
                <c:formatCode>0.00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F-4729-885A-ED445846F698}"/>
            </c:ext>
          </c:extLst>
        </c:ser>
        <c:ser>
          <c:idx val="1"/>
          <c:order val="1"/>
          <c:tx>
            <c:v>Prévisions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'Additf exponentiel'!$R$3:$S$194</c:f>
              <c:multiLvlStrCache>
                <c:ptCount val="192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  <c:pt idx="178">
                    <c:v>Novembre</c:v>
                  </c:pt>
                  <c:pt idx="179">
                    <c:v>Décembre</c:v>
                  </c:pt>
                  <c:pt idx="180">
                    <c:v>Janvier</c:v>
                  </c:pt>
                  <c:pt idx="181">
                    <c:v>Février</c:v>
                  </c:pt>
                  <c:pt idx="182">
                    <c:v>Mars</c:v>
                  </c:pt>
                  <c:pt idx="183">
                    <c:v>Avril</c:v>
                  </c:pt>
                  <c:pt idx="184">
                    <c:v>Mai</c:v>
                  </c:pt>
                  <c:pt idx="185">
                    <c:v>Juin</c:v>
                  </c:pt>
                  <c:pt idx="186">
                    <c:v>Juillet</c:v>
                  </c:pt>
                  <c:pt idx="187">
                    <c:v>Aout</c:v>
                  </c:pt>
                  <c:pt idx="188">
                    <c:v>Septembre</c:v>
                  </c:pt>
                  <c:pt idx="189">
                    <c:v>Octobre</c:v>
                  </c:pt>
                  <c:pt idx="190">
                    <c:v>Novembre</c:v>
                  </c:pt>
                  <c:pt idx="191">
                    <c:v>Décembre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  <c:pt idx="180">
                    <c:v>2026</c:v>
                  </c:pt>
                </c:lvl>
              </c:multiLvlStrCache>
            </c:multiLvlStrRef>
          </c:cat>
          <c:val>
            <c:numRef>
              <c:f>Prévision_g!$E$3:$E$194</c:f>
              <c:numCache>
                <c:formatCode>0.00</c:formatCode>
                <c:ptCount val="192"/>
                <c:pt idx="177">
                  <c:v>63.958773460341298</c:v>
                </c:pt>
                <c:pt idx="178">
                  <c:v>51.618655605769966</c:v>
                </c:pt>
                <c:pt idx="179">
                  <c:v>52.329721369349279</c:v>
                </c:pt>
                <c:pt idx="180">
                  <c:v>55.18608368458171</c:v>
                </c:pt>
                <c:pt idx="181">
                  <c:v>55.317657558732648</c:v>
                </c:pt>
                <c:pt idx="182">
                  <c:v>54.625109097683428</c:v>
                </c:pt>
                <c:pt idx="183">
                  <c:v>54.518749816098314</c:v>
                </c:pt>
                <c:pt idx="184">
                  <c:v>54.253050183912606</c:v>
                </c:pt>
                <c:pt idx="185">
                  <c:v>54.154684386306421</c:v>
                </c:pt>
                <c:pt idx="186">
                  <c:v>53.721605576403206</c:v>
                </c:pt>
                <c:pt idx="187">
                  <c:v>53.621275313551017</c:v>
                </c:pt>
                <c:pt idx="188">
                  <c:v>55.522165249424852</c:v>
                </c:pt>
                <c:pt idx="189">
                  <c:v>55.400041862031543</c:v>
                </c:pt>
                <c:pt idx="190">
                  <c:v>54.443428060086724</c:v>
                </c:pt>
                <c:pt idx="191">
                  <c:v>55.16976286395964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F-4729-885A-ED445846F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824175"/>
        <c:axId val="1011817103"/>
      </c:lineChart>
      <c:catAx>
        <c:axId val="101182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17103"/>
        <c:crosses val="autoZero"/>
        <c:auto val="1"/>
        <c:lblAlgn val="ctr"/>
        <c:lblOffset val="100"/>
        <c:noMultiLvlLbl val="0"/>
      </c:catAx>
      <c:valAx>
        <c:axId val="10118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2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_xlchart.v1.34</cx:f>
      </cx:numDim>
    </cx:data>
    <cx:data id="2">
      <cx:numDim type="val">
        <cx:f>_xlchart.v1.35</cx:f>
      </cx:numDim>
    </cx:data>
    <cx:data id="3">
      <cx:numDim type="val">
        <cx:f>_xlchart.v1.36</cx:f>
      </cx:numDim>
    </cx:data>
    <cx:data id="4">
      <cx:numDim type="val">
        <cx:f>_xlchart.v1.37</cx:f>
      </cx:numDim>
    </cx:data>
    <cx:data id="5">
      <cx:numDim type="val">
        <cx:f>_xlchart.v1.38</cx:f>
      </cx:numDim>
    </cx:data>
    <cx:data id="6">
      <cx:numDim type="val">
        <cx:f>_xlchart.v1.39</cx:f>
      </cx:numDim>
    </cx:data>
    <cx:data id="7">
      <cx:numDim type="val">
        <cx:f>_xlchart.v1.40</cx:f>
      </cx:numDim>
    </cx:data>
    <cx:data id="8">
      <cx:numDim type="val">
        <cx:f>_xlchart.v1.41</cx:f>
      </cx:numDim>
    </cx:data>
    <cx:data id="9">
      <cx:numDim type="val">
        <cx:f>_xlchart.v1.42</cx:f>
      </cx:numDim>
    </cx:data>
    <cx:data id="10">
      <cx:numDim type="val">
        <cx:f>_xlchart.v1.43</cx:f>
      </cx:numDim>
    </cx:data>
    <cx:data id="11">
      <cx:numDim type="val">
        <cx:f>_xlchart.v1.44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rtl="0"/>
            <a:r>
              <a:rPr lang="en-US" sz="1800" b="0" i="0" baseline="0">
                <a:effectLst/>
              </a:rPr>
              <a:t>Mensuel sur 15 ans 2011-2025</a:t>
            </a:r>
            <a:endParaRPr lang="fr-FR" sz="1400">
              <a:effectLst/>
            </a:endParaRPr>
          </a:p>
        </cx:rich>
      </cx:tx>
    </cx:title>
    <cx:plotArea>
      <cx:plotAreaRegion>
        <cx:series layoutId="boxWhisker" uniqueId="{2D2BD7AA-1B9D-4C46-B068-771E933B1790}">
          <cx:tx>
            <cx:txData>
              <cx:f/>
              <cx:v>Janvier</cx:v>
            </cx:txData>
          </cx:tx>
          <cx:dataId val="0"/>
          <cx:layoutPr>
            <cx:visibility meanMarker="0"/>
            <cx:statistics quartileMethod="exclusive"/>
          </cx:layoutPr>
        </cx:series>
        <cx:series layoutId="boxWhisker" uniqueId="{19F3CEAE-9302-4BA0-989C-E7960BF9C0A6}">
          <cx:tx>
            <cx:txData>
              <cx:f/>
              <cx:v>Février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B28153F6-0977-44A8-B8BE-398CBE9EAB77}">
          <cx:tx>
            <cx:txData>
              <cx:f/>
              <cx:v>Mars</cx:v>
            </cx:txData>
          </cx:tx>
          <cx:dataId val="2"/>
          <cx:layoutPr>
            <cx:visibility meanMarker="0"/>
            <cx:statistics quartileMethod="exclusive"/>
          </cx:layoutPr>
        </cx:series>
        <cx:series layoutId="boxWhisker" uniqueId="{38DC1ECA-155E-4F4B-9F98-DC4E6C9DC7CA}">
          <cx:tx>
            <cx:txData>
              <cx:f/>
              <cx:v>Avril</cx:v>
            </cx:txData>
          </cx:tx>
          <cx:dataId val="3"/>
          <cx:layoutPr>
            <cx:visibility meanMarker="0"/>
            <cx:statistics quartileMethod="exclusive"/>
          </cx:layoutPr>
        </cx:series>
        <cx:series layoutId="boxWhisker" uniqueId="{D6132F72-AD7D-4804-8BF8-0F197557912B}">
          <cx:tx>
            <cx:txData>
              <cx:f/>
              <cx:v>Mai</cx:v>
            </cx:txData>
          </cx:tx>
          <cx:dataId val="4"/>
          <cx:layoutPr>
            <cx:visibility meanMarker="0"/>
            <cx:statistics quartileMethod="exclusive"/>
          </cx:layoutPr>
        </cx:series>
        <cx:series layoutId="boxWhisker" uniqueId="{C84F255A-81DF-43AD-A42F-8C2F3A95A839}">
          <cx:tx>
            <cx:txData>
              <cx:f/>
              <cx:v>Juin</cx:v>
            </cx:txData>
          </cx:tx>
          <cx:dataId val="5"/>
          <cx:layoutPr>
            <cx:visibility meanMarker="0"/>
            <cx:statistics quartileMethod="exclusive"/>
          </cx:layoutPr>
        </cx:series>
        <cx:series layoutId="boxWhisker" uniqueId="{C5627FB1-8C8A-4235-B088-1EB5D19DA563}">
          <cx:tx>
            <cx:txData>
              <cx:f/>
              <cx:v>Juillet</cx:v>
            </cx:txData>
          </cx:tx>
          <cx:dataId val="6"/>
          <cx:layoutPr>
            <cx:visibility meanMarker="0"/>
            <cx:statistics quartileMethod="exclusive"/>
          </cx:layoutPr>
        </cx:series>
        <cx:series layoutId="boxWhisker" uniqueId="{2808B515-5560-4C83-993E-8BC439F14A01}">
          <cx:tx>
            <cx:txData>
              <cx:f/>
              <cx:v>Aout</cx:v>
            </cx:txData>
          </cx:tx>
          <cx:dataId val="7"/>
          <cx:layoutPr>
            <cx:visibility meanMarker="0"/>
            <cx:statistics quartileMethod="exclusive"/>
          </cx:layoutPr>
        </cx:series>
        <cx:series layoutId="boxWhisker" uniqueId="{46AC7696-9979-45BD-9A6A-86159E9572B3}">
          <cx:tx>
            <cx:txData>
              <cx:f/>
              <cx:v>Septembre</cx:v>
            </cx:txData>
          </cx:tx>
          <cx:dataId val="8"/>
          <cx:layoutPr>
            <cx:visibility meanMarker="0"/>
            <cx:statistics quartileMethod="exclusive"/>
          </cx:layoutPr>
        </cx:series>
        <cx:series layoutId="boxWhisker" uniqueId="{27EBF38E-BD52-4273-894D-B873CA2BF781}">
          <cx:tx>
            <cx:txData>
              <cx:f/>
              <cx:v>Octobre</cx:v>
            </cx:txData>
          </cx:tx>
          <cx:dataId val="9"/>
          <cx:layoutPr>
            <cx:visibility meanMarker="0"/>
            <cx:statistics quartileMethod="exclusive"/>
          </cx:layoutPr>
        </cx:series>
        <cx:series layoutId="boxWhisker" uniqueId="{4CD188A2-7544-4392-B2B1-041A77947354}">
          <cx:tx>
            <cx:txData>
              <cx:f/>
              <cx:v>Novembre</cx:v>
            </cx:txData>
          </cx:tx>
          <cx:dataId val="10"/>
          <cx:layoutPr>
            <cx:visibility meanMarker="0"/>
            <cx:statistics quartileMethod="exclusive"/>
          </cx:layoutPr>
        </cx:series>
        <cx:series layoutId="boxWhisker" uniqueId="{0260DCE1-55E3-4411-9C15-A8EB623F0F51}">
          <cx:tx>
            <cx:txData>
              <cx:f/>
              <cx:v>Décembre</cx:v>
            </cx:txData>
          </cx:tx>
          <cx:dataId val="11"/>
          <cx:layoutPr>
            <cx:visibility meanMarker="0"/>
            <cx:statistics quartileMethod="exclusive"/>
          </cx:layoutPr>
        </cx:series>
      </cx:plotAreaRegion>
      <cx:axis id="0">
        <cx:catScaling gapWidth="1.10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in="1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  <cx:data id="5">
      <cx:numDim type="val">
        <cx:f>_xlchart.v1.11</cx:f>
      </cx:numDim>
    </cx:data>
    <cx:data id="6">
      <cx:numDim type="val">
        <cx:f>_xlchart.v1.12</cx:f>
      </cx:numDim>
    </cx:data>
    <cx:data id="7">
      <cx:numDim type="val">
        <cx:f>_xlchart.v1.13</cx:f>
      </cx:numDim>
    </cx:data>
    <cx:data id="8">
      <cx:numDim type="val">
        <cx:f>_xlchart.v1.14</cx:f>
      </cx:numDim>
    </cx:data>
    <cx:data id="9">
      <cx:numDim type="val">
        <cx:f>_xlchart.v1.15</cx:f>
      </cx:numDim>
    </cx:data>
    <cx:data id="10">
      <cx:numDim type="val">
        <cx:f>_xlchart.v1.16</cx:f>
      </cx:numDim>
    </cx:data>
    <cx:data id="11">
      <cx:numDim type="val">
        <cx:f>_xlchart.v1.17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rtl="0"/>
            <a:r>
              <a:rPr lang="en-US" sz="1800" b="0" i="0" baseline="0">
                <a:effectLst/>
              </a:rPr>
              <a:t>Mensuel sur 5 ans 2020-2025</a:t>
            </a:r>
            <a:endParaRPr lang="fr-FR" sz="1400">
              <a:effectLst/>
            </a:endParaRPr>
          </a:p>
        </cx:rich>
      </cx:tx>
    </cx:title>
    <cx:plotArea>
      <cx:plotAreaRegion>
        <cx:series layoutId="boxWhisker" uniqueId="{22D612EE-A4D6-4714-82C9-DD95121DF253}">
          <cx:dataId val="0"/>
          <cx:layoutPr>
            <cx:visibility meanMarker="0"/>
            <cx:statistics quartileMethod="exclusive"/>
          </cx:layoutPr>
        </cx:series>
        <cx:series layoutId="boxWhisker" uniqueId="{01B770C3-549A-44B2-921B-94D6BDD456FC}">
          <cx:dataId val="1"/>
          <cx:layoutPr>
            <cx:visibility meanMarker="0"/>
            <cx:statistics quartileMethod="exclusive"/>
          </cx:layoutPr>
        </cx:series>
        <cx:series layoutId="boxWhisker" uniqueId="{64378F7D-1D11-4906-8780-A40CD71DFF74}">
          <cx:dataId val="2"/>
          <cx:layoutPr>
            <cx:visibility meanMarker="0"/>
            <cx:statistics quartileMethod="exclusive"/>
          </cx:layoutPr>
        </cx:series>
        <cx:series layoutId="boxWhisker" uniqueId="{9E6D0DF7-5EA6-47F8-976A-80F6E13E1A46}">
          <cx:dataId val="3"/>
          <cx:layoutPr>
            <cx:visibility meanMarker="0"/>
            <cx:statistics quartileMethod="exclusive"/>
          </cx:layoutPr>
        </cx:series>
        <cx:series layoutId="boxWhisker" uniqueId="{D630C307-691F-4A2E-B015-D03381C121CB}">
          <cx:dataId val="4"/>
          <cx:layoutPr>
            <cx:visibility meanMarker="0"/>
            <cx:statistics quartileMethod="exclusive"/>
          </cx:layoutPr>
        </cx:series>
        <cx:series layoutId="boxWhisker" uniqueId="{01AA09BE-A367-43C7-B456-7F28A6F879C2}">
          <cx:dataId val="5"/>
          <cx:layoutPr>
            <cx:visibility meanMarker="0"/>
            <cx:statistics quartileMethod="exclusive"/>
          </cx:layoutPr>
        </cx:series>
        <cx:series layoutId="boxWhisker" uniqueId="{54337591-CE6B-4BB7-B9FB-6F0BFEF90ECF}">
          <cx:dataId val="6"/>
          <cx:layoutPr>
            <cx:visibility meanMarker="0"/>
            <cx:statistics quartileMethod="exclusive"/>
          </cx:layoutPr>
        </cx:series>
        <cx:series layoutId="boxWhisker" uniqueId="{E647799B-6DAA-44AD-B7A6-C846C89A32C2}">
          <cx:dataId val="7"/>
          <cx:layoutPr>
            <cx:visibility meanMarker="0"/>
            <cx:statistics quartileMethod="exclusive"/>
          </cx:layoutPr>
        </cx:series>
        <cx:series layoutId="boxWhisker" uniqueId="{B434DE5D-D7A7-4630-ACD8-C008687579C9}">
          <cx:dataId val="8"/>
          <cx:layoutPr>
            <cx:visibility meanMarker="0"/>
            <cx:statistics quartileMethod="exclusive"/>
          </cx:layoutPr>
        </cx:series>
        <cx:series layoutId="boxWhisker" uniqueId="{7DE2457C-46DD-468E-83D4-2B5728E7C831}">
          <cx:dataId val="9"/>
          <cx:layoutPr>
            <cx:visibility meanMarker="0"/>
            <cx:statistics quartileMethod="exclusive"/>
          </cx:layoutPr>
        </cx:series>
        <cx:series layoutId="boxWhisker" uniqueId="{F74CCE1B-EA56-451D-805A-9AEF13230897}">
          <cx:dataId val="10"/>
          <cx:layoutPr>
            <cx:visibility meanMarker="0"/>
            <cx:statistics quartileMethod="exclusive"/>
          </cx:layoutPr>
        </cx:series>
        <cx:series layoutId="boxWhisker" uniqueId="{0524D058-BFCF-4CAF-9E54-53323E5AD08A}">
          <cx:dataId val="11"/>
          <cx:layoutPr>
            <cx:visibility meanMarker="0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fr-FR" sz="900" b="0" i="0" u="none" strike="noStrike" kern="1200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_xlchart.v1.27</cx:f>
      </cx:numDim>
    </cx:data>
    <cx:data id="1">
      <cx:numDim type="val">
        <cx:f dir="row">_xlchart.v1.28</cx:f>
      </cx:numDim>
    </cx:data>
    <cx:data id="2">
      <cx:numDim type="val">
        <cx:f dir="row">_xlchart.v1.29</cx:f>
      </cx:numDim>
    </cx:data>
    <cx:data id="3">
      <cx:numDim type="val">
        <cx:f dir="row">_xlchart.v1.30</cx:f>
      </cx:numDim>
    </cx:data>
    <cx:data id="4">
      <cx:numDim type="val">
        <cx:f dir="row">_xlchart.v1.31</cx:f>
      </cx:numDim>
    </cx:data>
    <cx:data id="5">
      <cx:numDim type="val">
        <cx:f dir="row">_xlchart.v1.32</cx:f>
      </cx:numDim>
    </cx:data>
    <cx:data id="6">
      <cx:numDim type="val">
        <cx:f dir="row">_xlchart.v1.18</cx:f>
      </cx:numDim>
    </cx:data>
    <cx:data id="7">
      <cx:numDim type="val">
        <cx:f dir="row">_xlchart.v1.19</cx:f>
      </cx:numDim>
    </cx:data>
    <cx:data id="8">
      <cx:numDim type="val">
        <cx:f dir="row">_xlchart.v1.20</cx:f>
      </cx:numDim>
    </cx:data>
    <cx:data id="9">
      <cx:numDim type="val">
        <cx:f dir="row">_xlchart.v1.21</cx:f>
      </cx:numDim>
    </cx:data>
    <cx:data id="10">
      <cx:numDim type="val">
        <cx:f dir="row">_xlchart.v1.22</cx:f>
      </cx:numDim>
    </cx:data>
    <cx:data id="11">
      <cx:numDim type="val">
        <cx:f dir="row">_xlchart.v1.23</cx:f>
      </cx:numDim>
    </cx:data>
    <cx:data id="12">
      <cx:numDim type="val">
        <cx:f dir="row">_xlchart.v1.24</cx:f>
      </cx:numDim>
    </cx:data>
    <cx:data id="13">
      <cx:numDim type="val">
        <cx:f dir="row">_xlchart.v1.25</cx:f>
      </cx:numDim>
    </cx:data>
    <cx:data id="14">
      <cx:numDim type="val">
        <cx:f dir="row">_xlchart.v1.26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rtl="0"/>
            <a:r>
              <a:rPr lang="en-US" sz="1800" b="0" i="0" baseline="0">
                <a:effectLst/>
              </a:rPr>
              <a:t>Annuel sur 15 ans 2011-2025</a:t>
            </a:r>
            <a:endParaRPr lang="fr-FR" sz="1400">
              <a:effectLst/>
            </a:endParaRPr>
          </a:p>
        </cx:rich>
      </cx:tx>
    </cx:title>
    <cx:plotArea>
      <cx:plotAreaRegion>
        <cx:series layoutId="boxWhisker" uniqueId="{BD24D2E9-AB0E-4D3D-AE09-EDEEE100D8B5}">
          <cx:tx>
            <cx:txData>
              <cx:f/>
              <cx:v>2011</cx:v>
            </cx:txData>
          </cx:tx>
          <cx:dataId val="0"/>
          <cx:layoutPr>
            <cx:visibility meanMarker="0"/>
            <cx:statistics quartileMethod="exclusive"/>
          </cx:layoutPr>
        </cx:series>
        <cx:series layoutId="boxWhisker" uniqueId="{D04B0F4A-3E56-4C14-8166-73B6CFBDC667}">
          <cx:tx>
            <cx:txData>
              <cx:f/>
              <cx:v>2012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B9CFDE95-6942-4B9F-AFE8-22A4781862FA}">
          <cx:tx>
            <cx:txData>
              <cx:f/>
              <cx:v>2013</cx:v>
            </cx:txData>
          </cx:tx>
          <cx:dataId val="2"/>
          <cx:layoutPr>
            <cx:visibility meanMarker="0"/>
            <cx:statistics quartileMethod="exclusive"/>
          </cx:layoutPr>
        </cx:series>
        <cx:series layoutId="boxWhisker" uniqueId="{BA58CAF1-4F06-403A-A0D1-A9FFDCFA3AD2}">
          <cx:tx>
            <cx:txData>
              <cx:f/>
              <cx:v>2014</cx:v>
            </cx:txData>
          </cx:tx>
          <cx:dataId val="3"/>
          <cx:layoutPr>
            <cx:visibility meanMarker="0"/>
            <cx:statistics quartileMethod="exclusive"/>
          </cx:layoutPr>
        </cx:series>
        <cx:series layoutId="boxWhisker" uniqueId="{5168160D-14E5-411F-8962-8E1D7B67A4CB}">
          <cx:tx>
            <cx:txData>
              <cx:f/>
              <cx:v>2015</cx:v>
            </cx:txData>
          </cx:tx>
          <cx:dataId val="4"/>
          <cx:layoutPr>
            <cx:visibility meanMarker="0"/>
            <cx:statistics quartileMethod="exclusive"/>
          </cx:layoutPr>
        </cx:series>
        <cx:series layoutId="boxWhisker" uniqueId="{CACD0291-5FCC-4817-91C0-82FF1B07EA6E}">
          <cx:tx>
            <cx:txData>
              <cx:f/>
              <cx:v>2016</cx:v>
            </cx:txData>
          </cx:tx>
          <cx:dataId val="5"/>
          <cx:layoutPr>
            <cx:visibility meanMarker="0"/>
            <cx:statistics quartileMethod="exclusive"/>
          </cx:layoutPr>
        </cx:series>
        <cx:series layoutId="boxWhisker" uniqueId="{8E63EBA1-0E1A-4054-8AF0-CB0CE9ED2DEA}">
          <cx:tx>
            <cx:txData>
              <cx:f/>
              <cx:v>2017</cx:v>
            </cx:txData>
          </cx:tx>
          <cx:dataId val="6"/>
          <cx:layoutPr>
            <cx:visibility meanMarker="0"/>
            <cx:statistics quartileMethod="exclusive"/>
          </cx:layoutPr>
        </cx:series>
        <cx:series layoutId="boxWhisker" uniqueId="{FB0BFCDE-5DE5-4122-915F-25D54880C46E}">
          <cx:tx>
            <cx:txData>
              <cx:f/>
              <cx:v>2018</cx:v>
            </cx:txData>
          </cx:tx>
          <cx:dataId val="7"/>
          <cx:layoutPr>
            <cx:visibility meanMarker="0"/>
            <cx:statistics quartileMethod="exclusive"/>
          </cx:layoutPr>
        </cx:series>
        <cx:series layoutId="boxWhisker" uniqueId="{092DCE26-B62F-4F28-AD24-7E70318C03A9}">
          <cx:tx>
            <cx:txData>
              <cx:f/>
              <cx:v>2019</cx:v>
            </cx:txData>
          </cx:tx>
          <cx:dataId val="8"/>
          <cx:layoutPr>
            <cx:visibility meanMarker="0"/>
            <cx:statistics quartileMethod="exclusive"/>
          </cx:layoutPr>
        </cx:series>
        <cx:series layoutId="boxWhisker" uniqueId="{DCA62853-F2F0-4256-B4CA-334AC8DFCB8C}">
          <cx:tx>
            <cx:txData>
              <cx:f/>
              <cx:v>2020</cx:v>
            </cx:txData>
          </cx:tx>
          <cx:dataId val="9"/>
          <cx:layoutPr>
            <cx:visibility meanMarker="0"/>
            <cx:statistics quartileMethod="exclusive"/>
          </cx:layoutPr>
        </cx:series>
        <cx:series layoutId="boxWhisker" uniqueId="{F792570C-A8E7-4A01-98E0-BE299BE2D647}">
          <cx:tx>
            <cx:txData>
              <cx:f/>
              <cx:v>2021</cx:v>
            </cx:txData>
          </cx:tx>
          <cx:dataId val="10"/>
          <cx:layoutPr>
            <cx:visibility meanMarker="0"/>
            <cx:statistics quartileMethod="exclusive"/>
          </cx:layoutPr>
        </cx:series>
        <cx:series layoutId="boxWhisker" uniqueId="{1B2C8944-7287-4DC3-B889-F75EF39AD662}">
          <cx:tx>
            <cx:txData>
              <cx:f/>
              <cx:v>2022</cx:v>
            </cx:txData>
          </cx:tx>
          <cx:dataId val="11"/>
          <cx:layoutPr>
            <cx:visibility meanMarker="0"/>
            <cx:statistics quartileMethod="exclusive"/>
          </cx:layoutPr>
        </cx:series>
        <cx:series layoutId="boxWhisker" uniqueId="{65A6C8C5-24B1-45A5-BECA-F1283EA5E67D}">
          <cx:tx>
            <cx:txData>
              <cx:f/>
              <cx:v>2023</cx:v>
            </cx:txData>
          </cx:tx>
          <cx:dataId val="12"/>
          <cx:layoutPr>
            <cx:visibility meanMarker="0"/>
            <cx:statistics quartileMethod="exclusive"/>
          </cx:layoutPr>
        </cx:series>
        <cx:series layoutId="boxWhisker" uniqueId="{73CCDE3D-B612-4D92-A185-A37B53E59388}">
          <cx:tx>
            <cx:txData>
              <cx:f/>
              <cx:v>2024</cx:v>
            </cx:txData>
          </cx:tx>
          <cx:dataId val="13"/>
          <cx:layoutPr>
            <cx:visibility meanMarker="0"/>
            <cx:statistics quartileMethod="exclusive"/>
          </cx:layoutPr>
        </cx:series>
        <cx:series layoutId="boxWhisker" uniqueId="{74799AC0-B822-4E5B-8839-6D5949377AFD}">
          <cx:tx>
            <cx:txData>
              <cx:f/>
              <cx:v>2025</cx:v>
            </cx:txData>
          </cx:tx>
          <cx:dataId val="14"/>
          <cx:layoutPr>
            <cx:visibility meanMarker="0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 min="1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  <cx:data id="1">
      <cx:numDim type="val">
        <cx:f dir="row">_xlchart.v1.1</cx:f>
      </cx:numDim>
    </cx:data>
    <cx:data id="2">
      <cx:numDim type="val">
        <cx:f dir="row">_xlchart.v1.2</cx:f>
      </cx:numDim>
    </cx:data>
    <cx:data id="3">
      <cx:numDim type="val">
        <cx:f dir="row">_xlchart.v1.3</cx:f>
      </cx:numDim>
    </cx:data>
    <cx:data id="4">
      <cx:numDim type="val">
        <cx:f dir="row">_xlchart.v1.4</cx:f>
      </cx:numDim>
    </cx:data>
    <cx:data id="5"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Annuel sur 5 ans 2020-2025</a:t>
            </a:r>
            <a:endParaRPr lang="fr-FR" sz="1400">
              <a:effectLst/>
            </a:endParaRPr>
          </a:p>
        </cx:rich>
      </cx:tx>
    </cx:title>
    <cx:plotArea>
      <cx:plotAreaRegion>
        <cx:series layoutId="boxWhisker" uniqueId="{23CD5324-5693-4813-9BDA-CAE6856C69C0}"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C215536E-3E36-4429-9B4B-7D7177BFD64E}">
          <cx:dataId val="1"/>
          <cx:layoutPr>
            <cx:visibility meanLine="0" meanMarker="0" nonoutliers="0" outliers="1"/>
            <cx:statistics quartileMethod="exclusive"/>
          </cx:layoutPr>
        </cx:series>
        <cx:series layoutId="boxWhisker" uniqueId="{43C3E639-85B2-4ECC-9A0D-703E84361B05}">
          <cx:dataId val="2"/>
          <cx:layoutPr>
            <cx:visibility meanLine="0" meanMarker="0" nonoutliers="0" outliers="1"/>
            <cx:statistics quartileMethod="exclusive"/>
          </cx:layoutPr>
        </cx:series>
        <cx:series layoutId="boxWhisker" uniqueId="{ACFF16BA-3F41-4922-B4EA-33255281D836}">
          <cx:dataId val="3"/>
          <cx:layoutPr>
            <cx:visibility meanLine="0" meanMarker="0" nonoutliers="0" outliers="1"/>
            <cx:statistics quartileMethod="exclusive"/>
          </cx:layoutPr>
        </cx:series>
        <cx:series layoutId="boxWhisker" uniqueId="{DE8A31CB-D441-4306-A2A5-47B711D4E66A}">
          <cx:dataId val="4"/>
          <cx:layoutPr>
            <cx:visibility meanLine="0" meanMarker="0" nonoutliers="0" outliers="1"/>
            <cx:statistics quartileMethod="exclusive"/>
          </cx:layoutPr>
        </cx:series>
        <cx:series layoutId="boxWhisker" uniqueId="{8A3FC410-DCFA-42B8-9F24-5D9D0B376209}">
          <cx:dataId val="5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  <cx:data id="1">
      <cx:numDim type="val">
        <cx:f>_xlchart.v1.46</cx:f>
      </cx:numDim>
    </cx:data>
    <cx:data id="2">
      <cx:numDim type="val">
        <cx:f>_xlchart.v1.47</cx:f>
      </cx:numDim>
    </cx:data>
    <cx:data id="3">
      <cx:numDim type="val">
        <cx:f>_xlchart.v1.48</cx:f>
      </cx:numDim>
    </cx:data>
    <cx:data id="4">
      <cx:numDim type="val">
        <cx:f>_xlchart.v1.49</cx:f>
      </cx:numDim>
    </cx:data>
    <cx:data id="5">
      <cx:numDim type="val">
        <cx:f>_xlchart.v1.50</cx:f>
      </cx:numDim>
    </cx:data>
    <cx:data id="6">
      <cx:numDim type="val">
        <cx:f>_xlchart.v1.51</cx:f>
      </cx:numDim>
    </cx:data>
    <cx:data id="7">
      <cx:numDim type="val">
        <cx:f>_xlchart.v1.52</cx:f>
      </cx:numDim>
    </cx:data>
    <cx:data id="8">
      <cx:numDim type="val">
        <cx:f>_xlchart.v1.53</cx:f>
      </cx:numDim>
    </cx:data>
    <cx:data id="9">
      <cx:numDim type="val">
        <cx:f>_xlchart.v1.54</cx:f>
      </cx:numDim>
    </cx:data>
    <cx:data id="10">
      <cx:numDim type="val">
        <cx:f>_xlchart.v1.55</cx:f>
      </cx:numDim>
    </cx:data>
    <cx:data id="11">
      <cx:numDim type="val">
        <cx:f>_xlchart.v1.56</cx:f>
      </cx:numDim>
    </cx:data>
  </cx:chartData>
  <cx:chart>
    <cx:title pos="t" align="ctr" overlay="0">
      <cx:tx>
        <cx:txData>
          <cx:v>Comparaison des Distributions Mensuelles (2011–2025)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lang="en-US" sz="1300" b="1" i="0" u="none" strike="noStrike" kern="1200" spc="0" baseline="0">
              <a:solidFill>
                <a:srgbClr val="2E4022"/>
              </a:solidFill>
              <a:effectLst/>
              <a:latin typeface="+mn-lt"/>
              <a:ea typeface="+mn-ea"/>
              <a:cs typeface="+mn-cs"/>
            </a:defRPr>
          </a:pPr>
          <a:r>
            <a:rPr lang="fr-FR" sz="1300" b="1" i="0" u="none" strike="noStrike" kern="1200" cap="all" spc="0" baseline="0">
              <a:solidFill>
                <a:srgbClr val="2E4022"/>
              </a:solidFill>
              <a:effectLst/>
              <a:latin typeface="+mn-lt"/>
              <a:ea typeface="+mn-ea"/>
              <a:cs typeface="+mn-cs"/>
            </a:rPr>
            <a:t>Comparaison des Distributions Mensuelles (2011–2025)</a:t>
          </a:r>
        </a:p>
      </cx:txPr>
    </cx:title>
    <cx:plotArea>
      <cx:plotAreaRegion>
        <cx:series layoutId="boxWhisker" uniqueId="{2D2BD7AA-1B9D-4C46-B068-771E933B1790}">
          <cx:tx>
            <cx:txData>
              <cx:f/>
              <cx:v>Janvier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9F3CEAE-9302-4BA0-989C-E7960BF9C0A6}">
          <cx:tx>
            <cx:txData>
              <cx:f/>
              <cx:v>Février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28153F6-0977-44A8-B8BE-398CBE9EAB77}">
          <cx:tx>
            <cx:txData>
              <cx:f/>
              <cx:v>Mars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8DC1ECA-155E-4F4B-9F98-DC4E6C9DC7CA}">
          <cx:tx>
            <cx:txData>
              <cx:f/>
              <cx:v>Avril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6132F72-AD7D-4804-8BF8-0F197557912B}">
          <cx:tx>
            <cx:txData>
              <cx:f/>
              <cx:v>Mai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84F255A-81DF-43AD-A42F-8C2F3A95A839}">
          <cx:tx>
            <cx:txData>
              <cx:f/>
              <cx:v>Juin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C5627FB1-8C8A-4235-B088-1EB5D19DA563}">
          <cx:tx>
            <cx:txData>
              <cx:f/>
              <cx:v>Juillet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2808B515-5560-4C83-993E-8BC439F14A01}">
          <cx:tx>
            <cx:txData>
              <cx:f/>
              <cx:v>Aout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46AC7696-9979-45BD-9A6A-86159E9572B3}">
          <cx:tx>
            <cx:txData>
              <cx:f/>
              <cx:v>Septembre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27EBF38E-BD52-4273-894D-B873CA2BF781}">
          <cx:tx>
            <cx:txData>
              <cx:f/>
              <cx:v>Octobre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4CD188A2-7544-4392-B2B1-041A77947354}">
          <cx:tx>
            <cx:txData>
              <cx:f/>
              <cx:v>Novembre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0260DCE1-55E3-4411-9C15-A8EB623F0F51}">
          <cx:tx>
            <cx:txData>
              <cx:f/>
              <cx:v>Décembre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in="1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_xlchart.v1.66</cx:f>
      </cx:numDim>
    </cx:data>
    <cx:data id="1">
      <cx:numDim type="val">
        <cx:f dir="row">_xlchart.v1.67</cx:f>
      </cx:numDim>
    </cx:data>
    <cx:data id="2">
      <cx:numDim type="val">
        <cx:f dir="row">_xlchart.v1.68</cx:f>
      </cx:numDim>
    </cx:data>
    <cx:data id="3">
      <cx:numDim type="val">
        <cx:f dir="row">_xlchart.v1.69</cx:f>
      </cx:numDim>
    </cx:data>
    <cx:data id="4">
      <cx:numDim type="val">
        <cx:f dir="row">_xlchart.v1.70</cx:f>
      </cx:numDim>
    </cx:data>
    <cx:data id="5">
      <cx:numDim type="val">
        <cx:f dir="row">_xlchart.v1.71</cx:f>
      </cx:numDim>
    </cx:data>
    <cx:data id="6">
      <cx:numDim type="val">
        <cx:f dir="row">_xlchart.v1.57</cx:f>
      </cx:numDim>
    </cx:data>
    <cx:data id="7">
      <cx:numDim type="val">
        <cx:f dir="row">_xlchart.v1.58</cx:f>
      </cx:numDim>
    </cx:data>
    <cx:data id="8">
      <cx:numDim type="val">
        <cx:f dir="row">_xlchart.v1.59</cx:f>
      </cx:numDim>
    </cx:data>
    <cx:data id="9">
      <cx:numDim type="val">
        <cx:f dir="row">_xlchart.v1.60</cx:f>
      </cx:numDim>
    </cx:data>
    <cx:data id="10">
      <cx:numDim type="val">
        <cx:f dir="row">_xlchart.v1.61</cx:f>
      </cx:numDim>
    </cx:data>
    <cx:data id="11">
      <cx:numDim type="val">
        <cx:f dir="row">_xlchart.v1.62</cx:f>
      </cx:numDim>
    </cx:data>
    <cx:data id="12">
      <cx:numDim type="val">
        <cx:f dir="row">_xlchart.v1.63</cx:f>
      </cx:numDim>
    </cx:data>
    <cx:data id="13">
      <cx:numDim type="val">
        <cx:f dir="row">_xlchart.v1.64</cx:f>
      </cx:numDim>
    </cx:data>
    <cx:data id="14">
      <cx:numDim type="val">
        <cx:f dir="row">_xlchart.v1.65</cx:f>
      </cx:numDim>
    </cx:data>
  </cx:chartData>
  <cx:chart>
    <cx:title pos="t" align="ctr" overlay="0">
      <cx:tx>
        <cx:txData>
          <cx:v>Comparaison des Distributions ANNUELLES (2011–2025)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rtl="0"/>
          <a:r>
            <a:rPr lang="fr-FR" sz="1400" b="1" i="0" u="none" strike="noStrike" kern="1200" cap="all" spc="0" baseline="0">
              <a:solidFill>
                <a:srgbClr val="2E4022"/>
              </a:solidFill>
              <a:effectLst/>
              <a:latin typeface="+mn-lt"/>
              <a:ea typeface="+mn-ea"/>
              <a:cs typeface="+mn-cs"/>
            </a:rPr>
            <a:t>Comparaison des Distributions ANNUELLES (2011–2025)</a:t>
          </a:r>
        </a:p>
      </cx:txPr>
    </cx:title>
    <cx:plotArea>
      <cx:plotAreaRegion>
        <cx:series layoutId="boxWhisker" uniqueId="{BD24D2E9-AB0E-4D3D-AE09-EDEEE100D8B5}">
          <cx:tx>
            <cx:txData>
              <cx:f/>
              <cx:v>2011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04B0F4A-3E56-4C14-8166-73B6CFBDC667}">
          <cx:tx>
            <cx:txData>
              <cx:f/>
              <cx:v>2012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9CFDE95-6942-4B9F-AFE8-22A4781862FA}">
          <cx:tx>
            <cx:txData>
              <cx:f/>
              <cx:v>2013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A58CAF1-4F06-403A-A0D1-A9FFDCFA3AD2}">
          <cx:tx>
            <cx:txData>
              <cx:f/>
              <cx:v>2014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168160D-14E5-411F-8962-8E1D7B67A4CB}">
          <cx:tx>
            <cx:txData>
              <cx:f/>
              <cx:v>2015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ACD0291-5FCC-4817-91C0-82FF1B07EA6E}">
          <cx:tx>
            <cx:txData>
              <cx:f/>
              <cx:v>2016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8E63EBA1-0E1A-4054-8AF0-CB0CE9ED2DEA}">
          <cx:tx>
            <cx:txData>
              <cx:f/>
              <cx:v>2017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B0BFCDE-5DE5-4122-915F-25D54880C46E}">
          <cx:tx>
            <cx:txData>
              <cx:f/>
              <cx:v>2018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92DCE26-B62F-4F28-AD24-7E70318C03A9}">
          <cx:tx>
            <cx:txData>
              <cx:f/>
              <cx:v>2019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CA62853-F2F0-4256-B4CA-334AC8DFCB8C}">
          <cx:tx>
            <cx:txData>
              <cx:f/>
              <cx:v>2020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F792570C-A8E7-4A01-98E0-BE299BE2D647}">
          <cx:tx>
            <cx:txData>
              <cx:f/>
              <cx:v>2021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1B2C8944-7287-4DC3-B889-F75EF39AD662}">
          <cx:tx>
            <cx:txData>
              <cx:f/>
              <cx:v>2022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65A6C8C5-24B1-45A5-BECA-F1283EA5E67D}">
          <cx:tx>
            <cx:txData>
              <cx:f/>
              <cx:v>2023</cx:v>
            </cx:txData>
          </cx:tx>
          <cx:dataId val="12"/>
          <cx:layoutPr>
            <cx:visibility meanLine="0" meanMarker="1" nonoutliers="0" outliers="1"/>
            <cx:statistics quartileMethod="exclusive"/>
          </cx:layoutPr>
        </cx:series>
        <cx:series layoutId="boxWhisker" uniqueId="{73CCDE3D-B612-4D92-A185-A37B53E59388}">
          <cx:tx>
            <cx:txData>
              <cx:f/>
              <cx:v>2024</cx:v>
            </cx:txData>
          </cx:tx>
          <cx:dataId val="13"/>
          <cx:layoutPr>
            <cx:visibility meanLine="0" meanMarker="1" nonoutliers="0" outliers="1"/>
            <cx:statistics quartileMethod="exclusive"/>
          </cx:layoutPr>
        </cx:series>
        <cx:series layoutId="boxWhisker" uniqueId="{74799AC0-B822-4E5B-8839-6D5949377AFD}">
          <cx:tx>
            <cx:txData>
              <cx:f/>
              <cx:v>2025</cx:v>
            </cx:txData>
          </cx:tx>
          <cx:dataId val="1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11.xml"/><Relationship Id="rId7" Type="http://schemas.openxmlformats.org/officeDocument/2006/relationships/chart" Target="../charts/chart13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509588</xdr:colOff>
      <xdr:row>25</xdr:row>
      <xdr:rowOff>133350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C5FD5BBF-F831-4544-AB94-96807FA8E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33</xdr:row>
      <xdr:rowOff>114300</xdr:rowOff>
    </xdr:from>
    <xdr:to>
      <xdr:col>11</xdr:col>
      <xdr:colOff>56030</xdr:colOff>
      <xdr:row>48</xdr:row>
      <xdr:rowOff>134471</xdr:rowOff>
    </xdr:to>
    <xdr:graphicFrame macro="">
      <xdr:nvGraphicFramePr>
        <xdr:cNvPr id="2" name="Graphique 8">
          <a:extLst>
            <a:ext uri="{FF2B5EF4-FFF2-40B4-BE49-F238E27FC236}">
              <a16:creationId xmlns:a16="http://schemas.microsoft.com/office/drawing/2014/main" id="{622FF5A2-5E27-2A45-8B9C-44A3017A8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33</xdr:row>
      <xdr:rowOff>152400</xdr:rowOff>
    </xdr:from>
    <xdr:to>
      <xdr:col>17</xdr:col>
      <xdr:colOff>114300</xdr:colOff>
      <xdr:row>49</xdr:row>
      <xdr:rowOff>0</xdr:rowOff>
    </xdr:to>
    <xdr:graphicFrame macro="">
      <xdr:nvGraphicFramePr>
        <xdr:cNvPr id="10" name="Graphique 10">
          <a:extLst>
            <a:ext uri="{FF2B5EF4-FFF2-40B4-BE49-F238E27FC236}">
              <a16:creationId xmlns:a16="http://schemas.microsoft.com/office/drawing/2014/main" id="{91D782C4-802E-C1E3-8F1E-6203CAE3109D}"/>
            </a:ext>
            <a:ext uri="{147F2762-F138-4A5C-976F-8EAC2B608ADB}">
              <a16:predDERef xmlns:a16="http://schemas.microsoft.com/office/drawing/2014/main" pred="{622FF5A2-5E27-2A45-8B9C-44A3017A8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403413</xdr:colOff>
      <xdr:row>20</xdr:row>
      <xdr:rowOff>123267</xdr:rowOff>
    </xdr:from>
    <xdr:to>
      <xdr:col>26</xdr:col>
      <xdr:colOff>168088</xdr:colOff>
      <xdr:row>48</xdr:row>
      <xdr:rowOff>168090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C20C1F2-9C28-41C4-8C1A-C51287C9B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23812</xdr:colOff>
      <xdr:row>43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4">
              <a:extLst>
                <a:ext uri="{FF2B5EF4-FFF2-40B4-BE49-F238E27FC236}">
                  <a16:creationId xmlns:a16="http://schemas.microsoft.com/office/drawing/2014/main" id="{85A889AE-80C3-4C14-85C1-62A9481A3005}"/>
                </a:ext>
                <a:ext uri="{147F2762-F138-4A5C-976F-8EAC2B608ADB}">
                  <a16:predDERef xmlns:a16="http://schemas.microsoft.com/office/drawing/2014/main" pred="{91D782C4-802E-C1E3-8F1E-6203CAE31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4501812" cy="833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0</xdr:row>
      <xdr:rowOff>0</xdr:rowOff>
    </xdr:from>
    <xdr:to>
      <xdr:col>35</xdr:col>
      <xdr:colOff>500062</xdr:colOff>
      <xdr:row>43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D7EF65B0-4088-420F-AD67-D2FB92CB2A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0" y="0"/>
              <a:ext cx="12692062" cy="833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43</xdr:row>
      <xdr:rowOff>95250</xdr:rowOff>
    </xdr:from>
    <xdr:to>
      <xdr:col>19</xdr:col>
      <xdr:colOff>23811</xdr:colOff>
      <xdr:row>88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1255C0A8-DD0B-4E73-8B57-6A0B57957CA2}"/>
                </a:ext>
                <a:ext uri="{147F2762-F138-4A5C-976F-8EAC2B608ADB}">
                  <a16:predDERef xmlns:a16="http://schemas.microsoft.com/office/drawing/2014/main" pred="{7B7B4ED6-59C6-DEAE-2A7D-C6C99C3B9F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286750"/>
              <a:ext cx="14501811" cy="857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43</xdr:row>
      <xdr:rowOff>115661</xdr:rowOff>
    </xdr:from>
    <xdr:to>
      <xdr:col>35</xdr:col>
      <xdr:colOff>619124</xdr:colOff>
      <xdr:row>88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30F1A3EA-707E-441A-91DE-02AA78583F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0" y="8307161"/>
              <a:ext cx="12811124" cy="8456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20</xdr:row>
      <xdr:rowOff>104775</xdr:rowOff>
    </xdr:from>
    <xdr:to>
      <xdr:col>17</xdr:col>
      <xdr:colOff>66674</xdr:colOff>
      <xdr:row>42</xdr:row>
      <xdr:rowOff>98622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F73FFC04-5F6F-402C-8A79-726D90AC4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19051</xdr:colOff>
      <xdr:row>20</xdr:row>
      <xdr:rowOff>28575</xdr:rowOff>
    </xdr:from>
    <xdr:to>
      <xdr:col>18</xdr:col>
      <xdr:colOff>0</xdr:colOff>
      <xdr:row>42</xdr:row>
      <xdr:rowOff>22422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977EAA1A-BA41-4D26-94E1-ED44F2EA2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62769</xdr:colOff>
      <xdr:row>20</xdr:row>
      <xdr:rowOff>171331</xdr:rowOff>
    </xdr:from>
    <xdr:to>
      <xdr:col>16</xdr:col>
      <xdr:colOff>646043</xdr:colOff>
      <xdr:row>42</xdr:row>
      <xdr:rowOff>107673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C67AB409-3540-4CB4-AC89-2111FC316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795336</xdr:colOff>
      <xdr:row>160</xdr:row>
      <xdr:rowOff>85725</xdr:rowOff>
    </xdr:from>
    <xdr:to>
      <xdr:col>17</xdr:col>
      <xdr:colOff>600075</xdr:colOff>
      <xdr:row>183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72ACB76-6974-483F-8E51-D56CE8BB0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594471</xdr:colOff>
      <xdr:row>21</xdr:row>
      <xdr:rowOff>137843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7C189CE9-75D6-4BF7-B71B-BF280BEA5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0</xdr:row>
      <xdr:rowOff>0</xdr:rowOff>
    </xdr:from>
    <xdr:to>
      <xdr:col>13</xdr:col>
      <xdr:colOff>371475</xdr:colOff>
      <xdr:row>21</xdr:row>
      <xdr:rowOff>142875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4E647E2C-A1CD-47FD-BEE1-E39F3192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352425</xdr:colOff>
      <xdr:row>0</xdr:row>
      <xdr:rowOff>0</xdr:rowOff>
    </xdr:from>
    <xdr:to>
      <xdr:col>20</xdr:col>
      <xdr:colOff>104775</xdr:colOff>
      <xdr:row>21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40038B5-35D1-4CF2-8439-6B8C307D2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54428</xdr:rowOff>
    </xdr:from>
    <xdr:to>
      <xdr:col>6</xdr:col>
      <xdr:colOff>598714</xdr:colOff>
      <xdr:row>45</xdr:row>
      <xdr:rowOff>27214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2B66ED7-DEFC-4228-8F08-24EC775FE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563097</xdr:colOff>
      <xdr:row>46</xdr:row>
      <xdr:rowOff>40500</xdr:rowOff>
    </xdr:from>
    <xdr:to>
      <xdr:col>13</xdr:col>
      <xdr:colOff>305360</xdr:colOff>
      <xdr:row>67</xdr:row>
      <xdr:rowOff>174971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phique 4">
              <a:extLst>
                <a:ext uri="{FF2B5EF4-FFF2-40B4-BE49-F238E27FC236}">
                  <a16:creationId xmlns:a16="http://schemas.microsoft.com/office/drawing/2014/main" id="{9396F0C4-335E-42A0-A48B-185F01CD177E}"/>
                </a:ext>
                <a:ext uri="{147F2762-F138-4A5C-976F-8EAC2B608ADB}">
                  <a16:predDERef xmlns:a16="http://schemas.microsoft.com/office/drawing/2014/main" pred="{91D782C4-802E-C1E3-8F1E-6203CAE31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5097" y="8803500"/>
              <a:ext cx="5076263" cy="4134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46</xdr:row>
      <xdr:rowOff>54626</xdr:rowOff>
    </xdr:from>
    <xdr:to>
      <xdr:col>6</xdr:col>
      <xdr:colOff>564496</xdr:colOff>
      <xdr:row>68</xdr:row>
      <xdr:rowOff>21010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phique 7">
              <a:extLst>
                <a:ext uri="{FF2B5EF4-FFF2-40B4-BE49-F238E27FC236}">
                  <a16:creationId xmlns:a16="http://schemas.microsoft.com/office/drawing/2014/main" id="{36B1D040-0A2A-40A9-8D92-CDCD0C720DA7}"/>
                </a:ext>
                <a:ext uri="{147F2762-F138-4A5C-976F-8EAC2B608ADB}">
                  <a16:predDERef xmlns:a16="http://schemas.microsoft.com/office/drawing/2014/main" pred="{7B7B4ED6-59C6-DEAE-2A7D-C6C99C3B9F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817626"/>
              <a:ext cx="5136496" cy="4157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6</xdr:col>
      <xdr:colOff>638735</xdr:colOff>
      <xdr:row>23</xdr:row>
      <xdr:rowOff>89648</xdr:rowOff>
    </xdr:from>
    <xdr:to>
      <xdr:col>13</xdr:col>
      <xdr:colOff>448235</xdr:colOff>
      <xdr:row>45</xdr:row>
      <xdr:rowOff>11207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8BC307D-67A3-44D3-9963-DFE78A3BF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593912</xdr:colOff>
      <xdr:row>28</xdr:row>
      <xdr:rowOff>56030</xdr:rowOff>
    </xdr:from>
    <xdr:to>
      <xdr:col>13</xdr:col>
      <xdr:colOff>336176</xdr:colOff>
      <xdr:row>31</xdr:row>
      <xdr:rowOff>56029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BB0ACBCA-5C4B-4FCC-AD01-B6E17656FFB5}"/>
            </a:ext>
          </a:extLst>
        </xdr:cNvPr>
        <xdr:cNvCxnSpPr/>
      </xdr:nvCxnSpPr>
      <xdr:spPr>
        <a:xfrm flipV="1">
          <a:off x="5927912" y="5390030"/>
          <a:ext cx="4314264" cy="571499"/>
        </a:xfrm>
        <a:prstGeom prst="line">
          <a:avLst/>
        </a:prstGeom>
        <a:ln>
          <a:solidFill>
            <a:srgbClr val="B5CC2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606482</xdr:colOff>
      <xdr:row>36</xdr:row>
      <xdr:rowOff>24849</xdr:rowOff>
    </xdr:from>
    <xdr:to>
      <xdr:col>13</xdr:col>
      <xdr:colOff>353229</xdr:colOff>
      <xdr:row>39</xdr:row>
      <xdr:rowOff>62268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A4FF8741-1428-459E-827E-4FFA0D8CF96E}"/>
            </a:ext>
          </a:extLst>
        </xdr:cNvPr>
        <xdr:cNvCxnSpPr/>
      </xdr:nvCxnSpPr>
      <xdr:spPr>
        <a:xfrm flipV="1">
          <a:off x="5940482" y="6882849"/>
          <a:ext cx="4318747" cy="608919"/>
        </a:xfrm>
        <a:prstGeom prst="line">
          <a:avLst/>
        </a:prstGeom>
        <a:ln>
          <a:solidFill>
            <a:srgbClr val="B5CC2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69</xdr:row>
      <xdr:rowOff>33617</xdr:rowOff>
    </xdr:from>
    <xdr:to>
      <xdr:col>13</xdr:col>
      <xdr:colOff>291353</xdr:colOff>
      <xdr:row>91</xdr:row>
      <xdr:rowOff>33617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960AA0FE-40A6-4A37-8916-6B6083DDB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500062</xdr:colOff>
      <xdr:row>43</xdr:row>
      <xdr:rowOff>166841</xdr:rowOff>
    </xdr:from>
    <xdr:to>
      <xdr:col>11</xdr:col>
      <xdr:colOff>52802</xdr:colOff>
      <xdr:row>43</xdr:row>
      <xdr:rowOff>167878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0829D387-51B6-483D-92B4-9180D2D11AA7}"/>
            </a:ext>
          </a:extLst>
        </xdr:cNvPr>
        <xdr:cNvCxnSpPr/>
      </xdr:nvCxnSpPr>
      <xdr:spPr>
        <a:xfrm flipV="1">
          <a:off x="8120062" y="8358341"/>
          <a:ext cx="314740" cy="1037"/>
        </a:xfrm>
        <a:prstGeom prst="line">
          <a:avLst/>
        </a:prstGeom>
        <a:ln w="25400">
          <a:solidFill>
            <a:srgbClr val="B5CC2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735911</xdr:colOff>
      <xdr:row>43</xdr:row>
      <xdr:rowOff>66260</xdr:rowOff>
    </xdr:from>
    <xdr:to>
      <xdr:col>12</xdr:col>
      <xdr:colOff>421171</xdr:colOff>
      <xdr:row>44</xdr:row>
      <xdr:rowOff>115956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B1428097-5AB8-43FC-86E6-BCD55FCECD8C}"/>
            </a:ext>
          </a:extLst>
        </xdr:cNvPr>
        <xdr:cNvSpPr txBox="1"/>
      </xdr:nvSpPr>
      <xdr:spPr>
        <a:xfrm>
          <a:off x="8355911" y="8257760"/>
          <a:ext cx="1209260" cy="240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chemeClr val="tx1">
                  <a:lumMod val="65000"/>
                  <a:lumOff val="35000"/>
                </a:schemeClr>
              </a:solidFill>
            </a:rPr>
            <a:t>Sens de la série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D567FD5B-B029-4FBD-98EF-64A35B8FB211}" autoFormatId="16" applyNumberFormats="0" applyBorderFormats="0" applyFontFormats="0" applyPatternFormats="0" applyAlignmentFormats="0" applyWidthHeightFormats="0">
  <queryTableRefresh nextId="23" unboundColumnsRight="1">
    <queryTableFields count="3">
      <queryTableField id="5" name="Column5" tableColumnId="5"/>
      <queryTableField id="6" name="Column6" tableColumnId="6"/>
      <queryTableField id="8" dataBound="0" tableColumnId="8"/>
    </queryTableFields>
    <queryTableDeletedFields count="5">
      <deletedField name="Column2"/>
      <deletedField name="Column3"/>
      <deletedField name="Column1"/>
      <deletedField name="Column4"/>
      <deletedField name="Column7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A743F35F-7AC2-44BD-A71F-F022DCEF1AC0}" autoFormatId="16" applyNumberFormats="0" applyBorderFormats="0" applyFontFormats="0" applyPatternFormats="0" applyAlignmentFormats="0" applyWidthHeightFormats="0">
  <queryTableRefresh nextId="13" unboundColumnsRight="1">
    <queryTableFields count="5">
      <queryTableField id="5" name="Column5" tableColumnId="5"/>
      <queryTableField id="11" dataBound="0" tableColumnId="2"/>
      <queryTableField id="12" dataBound="0" tableColumnId="3"/>
      <queryTableField id="6" name="Column6" tableColumnId="6"/>
      <queryTableField id="8" dataBound="0" tableColumnId="8"/>
    </queryTableFields>
    <queryTableDeletedFields count="5">
      <deletedField name="Column7"/>
      <deletedField name="Column4"/>
      <deletedField name="Column3"/>
      <deletedField name="Column2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3D07CA-F3D9-48BA-9D3F-AE90E99A4028}" name="dataset_2025_11_17T13_04_09_582711671Z_DEFAULT_INTEGRATION_IMF_RES_PCPS_9_0_0" displayName="dataset_2025_11_17T13_04_09_582711671Z_DEFAULT_INTEGRATION_IMF_RES_PCPS_9_0_0" ref="A1:C407" tableType="queryTable" totalsRowShown="0">
  <autoFilter ref="A1:C407" xr:uid="{0C3D07CA-F3D9-48BA-9D3F-AE90E99A4028}"/>
  <tableColumns count="3">
    <tableColumn id="5" xr3:uid="{47BC9FCE-9834-4E0A-9DFA-2D73AC0DB21E}" uniqueName="5" name="TIME_PERIOD" queryTableFieldId="5" dataDxfId="7"/>
    <tableColumn id="6" xr3:uid="{9DD1E3A6-3EE2-4FA4-8A37-B76151D7162D}" uniqueName="6" name="Yt" queryTableFieldId="6" dataDxfId="6"/>
    <tableColumn id="8" xr3:uid="{1FF05490-B0AA-4964-AFCC-2D21DDF99BFA}" uniqueName="8" name="t" queryTableFieldId="8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9C325-83A8-4F98-B6F9-F950891B1651}" name="dataset_2025_11_17T13_30_33_170025752Z_DEFAULT_INTEGRATION_IMF_RES_PCPS_9_0_0" displayName="dataset_2025_11_17T13_30_33_170025752Z_DEFAULT_INTEGRATION_IMF_RES_PCPS_9_0_0" ref="A1:E179" tableType="queryTable" totalsRowShown="0">
  <autoFilter ref="A1:E179" xr:uid="{7569C325-83A8-4F98-B6F9-F950891B1651}"/>
  <tableColumns count="5">
    <tableColumn id="5" xr3:uid="{45ACEADD-A0D2-4674-82E5-16450F36204B}" uniqueName="5" name="TIME_PERIOD" queryTableFieldId="5" dataDxfId="4"/>
    <tableColumn id="2" xr3:uid="{EC5C6702-ED00-43F1-9466-F4832A122219}" uniqueName="2" name="Années" queryTableFieldId="11" dataDxfId="3">
      <calculatedColumnFormula>LEFT(TRIM(dataset_2025_11_17T13_30_33_170025752Z_DEFAULT_INTEGRATION_IMF_RES_PCPS_9_0_0[[#This Row],[TIME_PERIOD]]),4)</calculatedColumnFormula>
    </tableColumn>
    <tableColumn id="3" xr3:uid="{045C40E4-7214-4293-BF6D-EAB89E3F6A4F}" uniqueName="3" name="Mois" queryTableFieldId="12" dataDxfId="2">
      <calculatedColumnFormula>RIGHT(TRIM(dataset_2025_11_17T13_30_33_170025752Z_DEFAULT_INTEGRATION_IMF_RES_PCPS_9_0_0[[#This Row],[TIME_PERIOD]]),2)</calculatedColumnFormula>
    </tableColumn>
    <tableColumn id="6" xr3:uid="{23084747-2278-4264-832A-FE632CB15AD5}" uniqueName="6" name="Yt" queryTableFieldId="6" dataDxfId="1"/>
    <tableColumn id="8" xr3:uid="{8C5F6086-46BA-41BE-A6C5-C0E011F5F85B}" uniqueName="8" name="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Papi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195A-087A-4695-8112-8F82288371C6}">
  <dimension ref="A1:C407"/>
  <sheetViews>
    <sheetView zoomScale="115" zoomScaleNormal="115" workbookViewId="0">
      <selection activeCell="F37" sqref="F37"/>
    </sheetView>
  </sheetViews>
  <sheetFormatPr baseColWidth="10" defaultColWidth="11.42578125" defaultRowHeight="15" x14ac:dyDescent="0.25"/>
  <cols>
    <col min="1" max="1" width="11.7109375" bestFit="1" customWidth="1"/>
    <col min="2" max="2" width="16.5703125" style="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8.75</v>
      </c>
      <c r="C2">
        <v>1</v>
      </c>
    </row>
    <row r="3" spans="1:3" x14ac:dyDescent="0.25">
      <c r="A3" t="s">
        <v>4</v>
      </c>
      <c r="B3" s="1">
        <v>7.9</v>
      </c>
      <c r="C3">
        <v>2</v>
      </c>
    </row>
    <row r="4" spans="1:3" x14ac:dyDescent="0.25">
      <c r="A4" t="s">
        <v>5</v>
      </c>
      <c r="B4" s="1">
        <v>7.75</v>
      </c>
      <c r="C4">
        <v>3</v>
      </c>
    </row>
    <row r="5" spans="1:3" x14ac:dyDescent="0.25">
      <c r="A5" t="s">
        <v>6</v>
      </c>
      <c r="B5" s="1">
        <v>7.75</v>
      </c>
      <c r="C5">
        <v>4</v>
      </c>
    </row>
    <row r="6" spans="1:3" x14ac:dyDescent="0.25">
      <c r="A6" t="s">
        <v>7</v>
      </c>
      <c r="B6" s="1">
        <v>7.55</v>
      </c>
      <c r="C6">
        <v>5</v>
      </c>
    </row>
    <row r="7" spans="1:3" x14ac:dyDescent="0.25">
      <c r="A7" t="s">
        <v>8</v>
      </c>
      <c r="B7" s="1">
        <v>7.75</v>
      </c>
      <c r="C7">
        <v>6</v>
      </c>
    </row>
    <row r="8" spans="1:3" x14ac:dyDescent="0.25">
      <c r="A8" t="s">
        <v>9</v>
      </c>
      <c r="B8" s="1">
        <v>7.75</v>
      </c>
      <c r="C8">
        <v>7</v>
      </c>
    </row>
    <row r="9" spans="1:3" x14ac:dyDescent="0.25">
      <c r="A9" t="s">
        <v>10</v>
      </c>
      <c r="B9" s="1">
        <v>8.0500000000000007</v>
      </c>
      <c r="C9">
        <v>8</v>
      </c>
    </row>
    <row r="10" spans="1:3" x14ac:dyDescent="0.25">
      <c r="A10" t="s">
        <v>11</v>
      </c>
      <c r="B10" s="1">
        <v>8.75</v>
      </c>
      <c r="C10">
        <v>9</v>
      </c>
    </row>
    <row r="11" spans="1:3" x14ac:dyDescent="0.25">
      <c r="A11" t="s">
        <v>12</v>
      </c>
      <c r="B11" s="1">
        <v>10.25</v>
      </c>
      <c r="C11">
        <v>10</v>
      </c>
    </row>
    <row r="12" spans="1:3" x14ac:dyDescent="0.25">
      <c r="A12" t="s">
        <v>13</v>
      </c>
      <c r="B12" s="1">
        <v>10.5</v>
      </c>
      <c r="C12">
        <v>11</v>
      </c>
    </row>
    <row r="13" spans="1:3" x14ac:dyDescent="0.25">
      <c r="A13" t="s">
        <v>14</v>
      </c>
      <c r="B13" s="1">
        <v>10</v>
      </c>
      <c r="C13">
        <v>12</v>
      </c>
    </row>
    <row r="14" spans="1:3" x14ac:dyDescent="0.25">
      <c r="A14" t="s">
        <v>15</v>
      </c>
      <c r="B14" s="1">
        <v>9.8000000000000007</v>
      </c>
      <c r="C14">
        <v>13</v>
      </c>
    </row>
    <row r="15" spans="1:3" x14ac:dyDescent="0.25">
      <c r="A15" t="s">
        <v>16</v>
      </c>
      <c r="B15" s="1">
        <v>10.1</v>
      </c>
      <c r="C15">
        <v>14</v>
      </c>
    </row>
    <row r="16" spans="1:3" x14ac:dyDescent="0.25">
      <c r="A16" t="s">
        <v>17</v>
      </c>
      <c r="B16" s="1">
        <v>10.199999999999999</v>
      </c>
      <c r="C16">
        <v>15</v>
      </c>
    </row>
    <row r="17" spans="1:3" x14ac:dyDescent="0.25">
      <c r="A17" t="s">
        <v>18</v>
      </c>
      <c r="B17" s="1">
        <v>10.35</v>
      </c>
      <c r="C17">
        <v>16</v>
      </c>
    </row>
    <row r="18" spans="1:3" x14ac:dyDescent="0.25">
      <c r="A18" t="s">
        <v>19</v>
      </c>
      <c r="B18" s="1">
        <v>10.1</v>
      </c>
      <c r="C18">
        <v>17</v>
      </c>
    </row>
    <row r="19" spans="1:3" x14ac:dyDescent="0.25">
      <c r="A19" t="s">
        <v>20</v>
      </c>
      <c r="B19" s="1">
        <v>10.3</v>
      </c>
      <c r="C19">
        <v>18</v>
      </c>
    </row>
    <row r="20" spans="1:3" x14ac:dyDescent="0.25">
      <c r="A20" t="s">
        <v>21</v>
      </c>
      <c r="B20" s="1">
        <v>9.9</v>
      </c>
      <c r="C20">
        <v>19</v>
      </c>
    </row>
    <row r="21" spans="1:3" x14ac:dyDescent="0.25">
      <c r="A21" t="s">
        <v>22</v>
      </c>
      <c r="B21" s="1">
        <v>10.050000000000001</v>
      </c>
      <c r="C21">
        <v>20</v>
      </c>
    </row>
    <row r="22" spans="1:3" x14ac:dyDescent="0.25">
      <c r="A22" t="s">
        <v>23</v>
      </c>
      <c r="B22" s="1">
        <v>10.199999999999999</v>
      </c>
      <c r="C22">
        <v>21</v>
      </c>
    </row>
    <row r="23" spans="1:3" x14ac:dyDescent="0.25">
      <c r="A23" t="s">
        <v>24</v>
      </c>
      <c r="B23" s="1">
        <v>10.175000000000001</v>
      </c>
      <c r="C23">
        <v>22</v>
      </c>
    </row>
    <row r="24" spans="1:3" x14ac:dyDescent="0.25">
      <c r="A24" t="s">
        <v>25</v>
      </c>
      <c r="B24" s="1">
        <v>9.9</v>
      </c>
      <c r="C24">
        <v>23</v>
      </c>
    </row>
    <row r="25" spans="1:3" x14ac:dyDescent="0.25">
      <c r="A25" t="s">
        <v>26</v>
      </c>
      <c r="B25" s="1">
        <v>9.85</v>
      </c>
      <c r="C25">
        <v>24</v>
      </c>
    </row>
    <row r="26" spans="1:3" x14ac:dyDescent="0.25">
      <c r="A26" t="s">
        <v>27</v>
      </c>
      <c r="B26" s="1">
        <v>9.4499999999999993</v>
      </c>
      <c r="C26">
        <v>25</v>
      </c>
    </row>
    <row r="27" spans="1:3" x14ac:dyDescent="0.25">
      <c r="A27" t="s">
        <v>28</v>
      </c>
      <c r="B27" s="1">
        <v>9.4499999999999993</v>
      </c>
      <c r="C27">
        <v>26</v>
      </c>
    </row>
    <row r="28" spans="1:3" x14ac:dyDescent="0.25">
      <c r="A28" t="s">
        <v>29</v>
      </c>
      <c r="B28" s="1">
        <v>9.3000000000000007</v>
      </c>
      <c r="C28">
        <v>27</v>
      </c>
    </row>
    <row r="29" spans="1:3" x14ac:dyDescent="0.25">
      <c r="A29" t="s">
        <v>30</v>
      </c>
      <c r="B29" s="1">
        <v>9.25</v>
      </c>
      <c r="C29">
        <v>28</v>
      </c>
    </row>
    <row r="30" spans="1:3" x14ac:dyDescent="0.25">
      <c r="A30" t="s">
        <v>31</v>
      </c>
      <c r="B30" s="1">
        <v>9.25</v>
      </c>
      <c r="C30">
        <v>29</v>
      </c>
    </row>
    <row r="31" spans="1:3" x14ac:dyDescent="0.25">
      <c r="A31" t="s">
        <v>32</v>
      </c>
      <c r="B31" s="1">
        <v>9.25</v>
      </c>
      <c r="C31">
        <v>30</v>
      </c>
    </row>
    <row r="32" spans="1:3" x14ac:dyDescent="0.25">
      <c r="A32" t="s">
        <v>33</v>
      </c>
      <c r="B32" s="1">
        <v>9.1</v>
      </c>
      <c r="C32">
        <v>31</v>
      </c>
    </row>
    <row r="33" spans="1:3" x14ac:dyDescent="0.25">
      <c r="A33" t="s">
        <v>34</v>
      </c>
      <c r="B33" s="1">
        <v>9.0500000000000007</v>
      </c>
      <c r="C33">
        <v>32</v>
      </c>
    </row>
    <row r="34" spans="1:3" x14ac:dyDescent="0.25">
      <c r="A34" t="s">
        <v>35</v>
      </c>
      <c r="B34" s="1">
        <v>9.4499999999999993</v>
      </c>
      <c r="C34">
        <v>33</v>
      </c>
    </row>
    <row r="35" spans="1:3" x14ac:dyDescent="0.25">
      <c r="A35" t="s">
        <v>36</v>
      </c>
      <c r="B35" s="1">
        <v>9.5</v>
      </c>
      <c r="C35">
        <v>34</v>
      </c>
    </row>
    <row r="36" spans="1:3" x14ac:dyDescent="0.25">
      <c r="A36" t="s">
        <v>37</v>
      </c>
      <c r="B36" s="1">
        <v>9.6</v>
      </c>
      <c r="C36">
        <v>35</v>
      </c>
    </row>
    <row r="37" spans="1:3" x14ac:dyDescent="0.25">
      <c r="A37" t="s">
        <v>38</v>
      </c>
      <c r="B37" s="1">
        <v>10.4</v>
      </c>
      <c r="C37">
        <v>36</v>
      </c>
    </row>
    <row r="38" spans="1:3" x14ac:dyDescent="0.25">
      <c r="A38" t="s">
        <v>39</v>
      </c>
      <c r="B38" s="1">
        <v>10.775</v>
      </c>
      <c r="C38">
        <v>37</v>
      </c>
    </row>
    <row r="39" spans="1:3" x14ac:dyDescent="0.25">
      <c r="A39" t="s">
        <v>40</v>
      </c>
      <c r="B39" s="1">
        <v>11.15</v>
      </c>
      <c r="C39">
        <v>38</v>
      </c>
    </row>
    <row r="40" spans="1:3" x14ac:dyDescent="0.25">
      <c r="A40" t="s">
        <v>41</v>
      </c>
      <c r="B40" s="1">
        <v>11.8</v>
      </c>
      <c r="C40">
        <v>39</v>
      </c>
    </row>
    <row r="41" spans="1:3" x14ac:dyDescent="0.25">
      <c r="A41" t="s">
        <v>42</v>
      </c>
      <c r="B41" s="1">
        <v>11.85</v>
      </c>
      <c r="C41">
        <v>40</v>
      </c>
    </row>
    <row r="42" spans="1:3" x14ac:dyDescent="0.25">
      <c r="A42" t="s">
        <v>43</v>
      </c>
      <c r="B42" s="1">
        <v>11.9</v>
      </c>
      <c r="C42">
        <v>41</v>
      </c>
    </row>
    <row r="43" spans="1:3" x14ac:dyDescent="0.25">
      <c r="A43" t="s">
        <v>44</v>
      </c>
      <c r="B43" s="1">
        <v>11.7</v>
      </c>
      <c r="C43">
        <v>42</v>
      </c>
    </row>
    <row r="44" spans="1:3" x14ac:dyDescent="0.25">
      <c r="A44" t="s">
        <v>45</v>
      </c>
      <c r="B44" s="1">
        <v>11.7</v>
      </c>
      <c r="C44">
        <v>43</v>
      </c>
    </row>
    <row r="45" spans="1:3" x14ac:dyDescent="0.25">
      <c r="A45" t="s">
        <v>46</v>
      </c>
      <c r="B45" s="1">
        <v>11.7</v>
      </c>
      <c r="C45">
        <v>44</v>
      </c>
    </row>
    <row r="46" spans="1:3" x14ac:dyDescent="0.25">
      <c r="A46" t="s">
        <v>47</v>
      </c>
      <c r="B46" s="1">
        <v>11.85</v>
      </c>
      <c r="C46">
        <v>45</v>
      </c>
    </row>
    <row r="47" spans="1:3" x14ac:dyDescent="0.25">
      <c r="A47" t="s">
        <v>48</v>
      </c>
      <c r="B47" s="1">
        <v>11.85</v>
      </c>
      <c r="C47">
        <v>46</v>
      </c>
    </row>
    <row r="48" spans="1:3" x14ac:dyDescent="0.25">
      <c r="A48" t="s">
        <v>49</v>
      </c>
      <c r="B48" s="1">
        <v>11.85</v>
      </c>
      <c r="C48">
        <v>47</v>
      </c>
    </row>
    <row r="49" spans="1:3" x14ac:dyDescent="0.25">
      <c r="A49" t="s">
        <v>50</v>
      </c>
      <c r="B49" s="1">
        <v>11.85</v>
      </c>
      <c r="C49">
        <v>48</v>
      </c>
    </row>
    <row r="50" spans="1:3" x14ac:dyDescent="0.25">
      <c r="A50" t="s">
        <v>51</v>
      </c>
      <c r="B50" s="1">
        <v>12.2</v>
      </c>
      <c r="C50">
        <v>49</v>
      </c>
    </row>
    <row r="51" spans="1:3" x14ac:dyDescent="0.25">
      <c r="A51" t="s">
        <v>52</v>
      </c>
      <c r="B51" s="1">
        <v>15.75</v>
      </c>
      <c r="C51">
        <v>50</v>
      </c>
    </row>
    <row r="52" spans="1:3" x14ac:dyDescent="0.25">
      <c r="A52" t="s">
        <v>53</v>
      </c>
      <c r="B52" s="1">
        <v>15.75</v>
      </c>
      <c r="C52">
        <v>51</v>
      </c>
    </row>
    <row r="53" spans="1:3" x14ac:dyDescent="0.25">
      <c r="A53" t="s">
        <v>54</v>
      </c>
      <c r="B53" s="1">
        <v>15.987500000000001</v>
      </c>
      <c r="C53">
        <v>52</v>
      </c>
    </row>
    <row r="54" spans="1:3" x14ac:dyDescent="0.25">
      <c r="A54" t="s">
        <v>55</v>
      </c>
      <c r="B54" s="1">
        <v>16.383333333333301</v>
      </c>
      <c r="C54">
        <v>53</v>
      </c>
    </row>
    <row r="55" spans="1:3" x14ac:dyDescent="0.25">
      <c r="A55" t="s">
        <v>56</v>
      </c>
      <c r="B55" s="1">
        <v>16.5</v>
      </c>
      <c r="C55">
        <v>54</v>
      </c>
    </row>
    <row r="56" spans="1:3" x14ac:dyDescent="0.25">
      <c r="A56" t="s">
        <v>57</v>
      </c>
      <c r="B56" s="1">
        <v>16.5</v>
      </c>
      <c r="C56">
        <v>55</v>
      </c>
    </row>
    <row r="57" spans="1:3" x14ac:dyDescent="0.25">
      <c r="A57" t="s">
        <v>58</v>
      </c>
      <c r="B57" s="1">
        <v>16.46</v>
      </c>
      <c r="C57">
        <v>56</v>
      </c>
    </row>
    <row r="58" spans="1:3" x14ac:dyDescent="0.25">
      <c r="A58" t="s">
        <v>59</v>
      </c>
      <c r="B58" s="1">
        <v>16.149999999999999</v>
      </c>
      <c r="C58">
        <v>57</v>
      </c>
    </row>
    <row r="59" spans="1:3" x14ac:dyDescent="0.25">
      <c r="A59" t="s">
        <v>60</v>
      </c>
      <c r="B59" s="1">
        <v>15.74</v>
      </c>
      <c r="C59">
        <v>58</v>
      </c>
    </row>
    <row r="60" spans="1:3" x14ac:dyDescent="0.25">
      <c r="A60" t="s">
        <v>61</v>
      </c>
      <c r="B60" s="1">
        <v>15.07</v>
      </c>
      <c r="C60">
        <v>59</v>
      </c>
    </row>
    <row r="61" spans="1:3" x14ac:dyDescent="0.25">
      <c r="A61" t="s">
        <v>62</v>
      </c>
      <c r="B61" s="1">
        <v>14.762499999999999</v>
      </c>
      <c r="C61">
        <v>60</v>
      </c>
    </row>
    <row r="62" spans="1:3" x14ac:dyDescent="0.25">
      <c r="A62" t="s">
        <v>63</v>
      </c>
      <c r="B62" s="1">
        <v>14.487500000000001</v>
      </c>
      <c r="C62">
        <v>61</v>
      </c>
    </row>
    <row r="63" spans="1:3" x14ac:dyDescent="0.25">
      <c r="A63" t="s">
        <v>64</v>
      </c>
      <c r="B63" s="1">
        <v>13.81</v>
      </c>
      <c r="C63">
        <v>62</v>
      </c>
    </row>
    <row r="64" spans="1:3" x14ac:dyDescent="0.25">
      <c r="A64" t="s">
        <v>65</v>
      </c>
      <c r="B64" s="1">
        <v>13.62</v>
      </c>
      <c r="C64">
        <v>63</v>
      </c>
    </row>
    <row r="65" spans="1:3" x14ac:dyDescent="0.25">
      <c r="A65" t="s">
        <v>66</v>
      </c>
      <c r="B65" s="1">
        <v>12.824999999999999</v>
      </c>
      <c r="C65">
        <v>64</v>
      </c>
    </row>
    <row r="66" spans="1:3" x14ac:dyDescent="0.25">
      <c r="A66" t="s">
        <v>67</v>
      </c>
      <c r="B66" s="1">
        <v>11.827777777777801</v>
      </c>
      <c r="C66">
        <v>65</v>
      </c>
    </row>
    <row r="67" spans="1:3" x14ac:dyDescent="0.25">
      <c r="A67" t="s">
        <v>68</v>
      </c>
      <c r="B67" s="1">
        <v>10.9444444444444</v>
      </c>
      <c r="C67">
        <v>66</v>
      </c>
    </row>
    <row r="68" spans="1:3" x14ac:dyDescent="0.25">
      <c r="A68" t="s">
        <v>69</v>
      </c>
      <c r="B68" s="1">
        <v>10.484999999999999</v>
      </c>
      <c r="C68">
        <v>67</v>
      </c>
    </row>
    <row r="69" spans="1:3" x14ac:dyDescent="0.25">
      <c r="A69" t="s">
        <v>70</v>
      </c>
      <c r="B69" s="1">
        <v>10.3944444444444</v>
      </c>
      <c r="C69">
        <v>68</v>
      </c>
    </row>
    <row r="70" spans="1:3" x14ac:dyDescent="0.25">
      <c r="A70" t="s">
        <v>71</v>
      </c>
      <c r="B70" s="1">
        <v>10.25</v>
      </c>
      <c r="C70">
        <v>69</v>
      </c>
    </row>
    <row r="71" spans="1:3" x14ac:dyDescent="0.25">
      <c r="A71" t="s">
        <v>72</v>
      </c>
      <c r="B71" s="1">
        <v>11.28</v>
      </c>
      <c r="C71">
        <v>70</v>
      </c>
    </row>
    <row r="72" spans="1:3" x14ac:dyDescent="0.25">
      <c r="A72" t="s">
        <v>73</v>
      </c>
      <c r="B72" s="1">
        <v>12.75</v>
      </c>
      <c r="C72">
        <v>71</v>
      </c>
    </row>
    <row r="73" spans="1:3" x14ac:dyDescent="0.25">
      <c r="A73" t="s">
        <v>74</v>
      </c>
      <c r="B73" s="1">
        <v>12.5</v>
      </c>
      <c r="C73">
        <v>72</v>
      </c>
    </row>
    <row r="74" spans="1:3" x14ac:dyDescent="0.25">
      <c r="A74" t="s">
        <v>75</v>
      </c>
      <c r="B74" s="1">
        <v>12.0375</v>
      </c>
      <c r="C74">
        <v>73</v>
      </c>
    </row>
    <row r="75" spans="1:3" x14ac:dyDescent="0.25">
      <c r="A75" t="s">
        <v>76</v>
      </c>
      <c r="B75" s="1">
        <v>11.375</v>
      </c>
      <c r="C75">
        <v>74</v>
      </c>
    </row>
    <row r="76" spans="1:3" x14ac:dyDescent="0.25">
      <c r="A76" t="s">
        <v>77</v>
      </c>
      <c r="B76" s="1">
        <v>10.6625</v>
      </c>
      <c r="C76">
        <v>75</v>
      </c>
    </row>
    <row r="77" spans="1:3" x14ac:dyDescent="0.25">
      <c r="A77" t="s">
        <v>78</v>
      </c>
      <c r="B77" s="1">
        <v>10.75</v>
      </c>
      <c r="C77">
        <v>76</v>
      </c>
    </row>
    <row r="78" spans="1:3" x14ac:dyDescent="0.25">
      <c r="A78" t="s">
        <v>79</v>
      </c>
      <c r="B78" s="1">
        <v>10.75</v>
      </c>
      <c r="C78">
        <v>77</v>
      </c>
    </row>
    <row r="79" spans="1:3" x14ac:dyDescent="0.25">
      <c r="A79" t="s">
        <v>80</v>
      </c>
      <c r="B79" s="1">
        <v>10.75</v>
      </c>
      <c r="C79">
        <v>78</v>
      </c>
    </row>
    <row r="80" spans="1:3" x14ac:dyDescent="0.25">
      <c r="A80" t="s">
        <v>81</v>
      </c>
      <c r="B80" s="1">
        <v>10.6111111111111</v>
      </c>
      <c r="C80">
        <v>79</v>
      </c>
    </row>
    <row r="81" spans="1:3" x14ac:dyDescent="0.25">
      <c r="A81" t="s">
        <v>82</v>
      </c>
      <c r="B81" s="1">
        <v>10.5</v>
      </c>
      <c r="C81">
        <v>80</v>
      </c>
    </row>
    <row r="82" spans="1:3" x14ac:dyDescent="0.25">
      <c r="A82" t="s">
        <v>83</v>
      </c>
      <c r="B82" s="1">
        <v>10.233333333333301</v>
      </c>
      <c r="C82">
        <v>81</v>
      </c>
    </row>
    <row r="83" spans="1:3" x14ac:dyDescent="0.25">
      <c r="A83" t="s">
        <v>84</v>
      </c>
      <c r="B83" s="1">
        <v>9.6055555555555596</v>
      </c>
      <c r="C83">
        <v>82</v>
      </c>
    </row>
    <row r="84" spans="1:3" x14ac:dyDescent="0.25">
      <c r="A84" t="s">
        <v>85</v>
      </c>
      <c r="B84" s="1">
        <v>8.8833333333333293</v>
      </c>
      <c r="C84">
        <v>83</v>
      </c>
    </row>
    <row r="85" spans="1:3" x14ac:dyDescent="0.25">
      <c r="A85" t="s">
        <v>86</v>
      </c>
      <c r="B85" s="1">
        <v>8.4875000000000007</v>
      </c>
      <c r="C85">
        <v>84</v>
      </c>
    </row>
    <row r="86" spans="1:3" x14ac:dyDescent="0.25">
      <c r="A86" t="s">
        <v>87</v>
      </c>
      <c r="B86" s="1">
        <v>9.0124999999999993</v>
      </c>
      <c r="C86">
        <v>85</v>
      </c>
    </row>
    <row r="87" spans="1:3" x14ac:dyDescent="0.25">
      <c r="A87" t="s">
        <v>88</v>
      </c>
      <c r="B87" s="1">
        <v>9.1999999999999993</v>
      </c>
      <c r="C87">
        <v>86</v>
      </c>
    </row>
    <row r="88" spans="1:3" x14ac:dyDescent="0.25">
      <c r="A88" t="s">
        <v>89</v>
      </c>
      <c r="B88" s="1">
        <v>10.43571429</v>
      </c>
      <c r="C88">
        <v>87</v>
      </c>
    </row>
    <row r="89" spans="1:3" x14ac:dyDescent="0.25">
      <c r="A89" t="s">
        <v>90</v>
      </c>
      <c r="B89" s="1">
        <v>10.85</v>
      </c>
      <c r="C89">
        <v>88</v>
      </c>
    </row>
    <row r="90" spans="1:3" x14ac:dyDescent="0.25">
      <c r="A90" t="s">
        <v>91</v>
      </c>
      <c r="B90" s="1">
        <v>10.725</v>
      </c>
      <c r="C90">
        <v>89</v>
      </c>
    </row>
    <row r="91" spans="1:3" x14ac:dyDescent="0.25">
      <c r="A91" t="s">
        <v>92</v>
      </c>
      <c r="B91" s="1">
        <v>10.55555556</v>
      </c>
      <c r="C91">
        <v>90</v>
      </c>
    </row>
    <row r="92" spans="1:3" x14ac:dyDescent="0.25">
      <c r="A92" t="s">
        <v>93</v>
      </c>
      <c r="B92" s="1">
        <v>10.262499999999999</v>
      </c>
      <c r="C92">
        <v>91</v>
      </c>
    </row>
    <row r="93" spans="1:3" x14ac:dyDescent="0.25">
      <c r="A93" t="s">
        <v>94</v>
      </c>
      <c r="B93" s="1">
        <v>10.114285710000001</v>
      </c>
      <c r="C93">
        <v>92</v>
      </c>
    </row>
    <row r="94" spans="1:3" x14ac:dyDescent="0.25">
      <c r="A94" t="s">
        <v>95</v>
      </c>
      <c r="B94" s="1">
        <v>9.9166666699999997</v>
      </c>
      <c r="C94">
        <v>93</v>
      </c>
    </row>
    <row r="95" spans="1:3" x14ac:dyDescent="0.25">
      <c r="A95" t="s">
        <v>96</v>
      </c>
      <c r="B95" s="1">
        <v>9.7611111099999999</v>
      </c>
      <c r="C95">
        <v>94</v>
      </c>
    </row>
    <row r="96" spans="1:3" x14ac:dyDescent="0.25">
      <c r="A96" t="s">
        <v>97</v>
      </c>
      <c r="B96" s="1">
        <v>9.7125000000000004</v>
      </c>
      <c r="C96">
        <v>95</v>
      </c>
    </row>
    <row r="97" spans="1:3" x14ac:dyDescent="0.25">
      <c r="A97" t="s">
        <v>98</v>
      </c>
      <c r="B97" s="1">
        <v>9.6374999999999993</v>
      </c>
      <c r="C97">
        <v>96</v>
      </c>
    </row>
    <row r="98" spans="1:3" x14ac:dyDescent="0.25">
      <c r="A98" t="s">
        <v>99</v>
      </c>
      <c r="B98" s="1">
        <v>9.5500000000000007</v>
      </c>
      <c r="C98">
        <v>97</v>
      </c>
    </row>
    <row r="99" spans="1:3" x14ac:dyDescent="0.25">
      <c r="A99" t="s">
        <v>100</v>
      </c>
      <c r="B99" s="1">
        <v>9.3937500000000007</v>
      </c>
      <c r="C99">
        <v>98</v>
      </c>
    </row>
    <row r="100" spans="1:3" x14ac:dyDescent="0.25">
      <c r="A100" t="s">
        <v>101</v>
      </c>
      <c r="B100" s="1">
        <v>9.31</v>
      </c>
      <c r="C100">
        <v>99</v>
      </c>
    </row>
    <row r="101" spans="1:3" x14ac:dyDescent="0.25">
      <c r="A101" t="s">
        <v>102</v>
      </c>
      <c r="B101" s="1">
        <v>9.1428571400000003</v>
      </c>
      <c r="C101">
        <v>100</v>
      </c>
    </row>
    <row r="102" spans="1:3" x14ac:dyDescent="0.25">
      <c r="A102" t="s">
        <v>103</v>
      </c>
      <c r="B102" s="1">
        <v>8.5</v>
      </c>
      <c r="C102">
        <v>101</v>
      </c>
    </row>
    <row r="103" spans="1:3" x14ac:dyDescent="0.25">
      <c r="A103" t="s">
        <v>104</v>
      </c>
      <c r="B103" s="1">
        <v>8.2312499999999993</v>
      </c>
      <c r="C103">
        <v>102</v>
      </c>
    </row>
    <row r="104" spans="1:3" x14ac:dyDescent="0.25">
      <c r="A104" t="s">
        <v>105</v>
      </c>
      <c r="B104" s="1">
        <v>8.1</v>
      </c>
      <c r="C104">
        <v>103</v>
      </c>
    </row>
    <row r="105" spans="1:3" x14ac:dyDescent="0.25">
      <c r="A105" t="s">
        <v>106</v>
      </c>
      <c r="B105" s="1">
        <v>7.9571428600000003</v>
      </c>
      <c r="C105">
        <v>104</v>
      </c>
    </row>
    <row r="106" spans="1:3" x14ac:dyDescent="0.25">
      <c r="A106" t="s">
        <v>107</v>
      </c>
      <c r="B106" s="1">
        <v>7.56666667</v>
      </c>
      <c r="C106">
        <v>105</v>
      </c>
    </row>
    <row r="107" spans="1:3" x14ac:dyDescent="0.25">
      <c r="A107" t="s">
        <v>108</v>
      </c>
      <c r="B107" s="1">
        <v>7.4</v>
      </c>
      <c r="C107">
        <v>106</v>
      </c>
    </row>
    <row r="108" spans="1:3" x14ac:dyDescent="0.25">
      <c r="A108" t="s">
        <v>109</v>
      </c>
      <c r="B108" s="1">
        <v>7.1277777799999997</v>
      </c>
      <c r="C108">
        <v>107</v>
      </c>
    </row>
    <row r="109" spans="1:3" x14ac:dyDescent="0.25">
      <c r="A109" t="s">
        <v>110</v>
      </c>
      <c r="B109" s="1">
        <v>7.1357142900000001</v>
      </c>
      <c r="C109">
        <v>108</v>
      </c>
    </row>
    <row r="110" spans="1:3" x14ac:dyDescent="0.25">
      <c r="A110" t="s">
        <v>111</v>
      </c>
      <c r="B110" s="1">
        <v>7.1</v>
      </c>
      <c r="C110">
        <v>109</v>
      </c>
    </row>
    <row r="111" spans="1:3" x14ac:dyDescent="0.25">
      <c r="A111" t="s">
        <v>112</v>
      </c>
      <c r="B111" s="1">
        <v>7.3875000000000002</v>
      </c>
      <c r="C111">
        <v>110</v>
      </c>
    </row>
    <row r="112" spans="1:3" x14ac:dyDescent="0.25">
      <c r="A112" t="s">
        <v>113</v>
      </c>
      <c r="B112" s="1">
        <v>7.6944444399999998</v>
      </c>
      <c r="C112">
        <v>111</v>
      </c>
    </row>
    <row r="113" spans="1:3" x14ac:dyDescent="0.25">
      <c r="A113" t="s">
        <v>114</v>
      </c>
      <c r="B113" s="1">
        <v>8.2285714300000006</v>
      </c>
      <c r="C113">
        <v>112</v>
      </c>
    </row>
    <row r="114" spans="1:3" x14ac:dyDescent="0.25">
      <c r="A114" t="s">
        <v>115</v>
      </c>
      <c r="B114" s="1">
        <v>9</v>
      </c>
      <c r="C114">
        <v>113</v>
      </c>
    </row>
    <row r="115" spans="1:3" x14ac:dyDescent="0.25">
      <c r="A115" t="s">
        <v>116</v>
      </c>
      <c r="B115" s="1">
        <v>8.7777777799999992</v>
      </c>
      <c r="C115">
        <v>114</v>
      </c>
    </row>
    <row r="116" spans="1:3" x14ac:dyDescent="0.25">
      <c r="A116" t="s">
        <v>117</v>
      </c>
      <c r="B116" s="1">
        <v>8.75</v>
      </c>
      <c r="C116">
        <v>115</v>
      </c>
    </row>
    <row r="117" spans="1:3" x14ac:dyDescent="0.25">
      <c r="A117" t="s">
        <v>118</v>
      </c>
      <c r="B117" s="1">
        <v>8.9499999999999993</v>
      </c>
      <c r="C117">
        <v>116</v>
      </c>
    </row>
    <row r="118" spans="1:3" x14ac:dyDescent="0.25">
      <c r="A118" t="s">
        <v>119</v>
      </c>
      <c r="B118" s="1">
        <v>9.15</v>
      </c>
      <c r="C118">
        <v>117</v>
      </c>
    </row>
    <row r="119" spans="1:3" x14ac:dyDescent="0.25">
      <c r="A119" t="s">
        <v>120</v>
      </c>
      <c r="B119" s="1">
        <v>9.4666666700000004</v>
      </c>
      <c r="C119">
        <v>118</v>
      </c>
    </row>
    <row r="120" spans="1:3" x14ac:dyDescent="0.25">
      <c r="A120" t="s">
        <v>121</v>
      </c>
      <c r="B120" s="1">
        <v>9.43333333</v>
      </c>
      <c r="C120">
        <v>119</v>
      </c>
    </row>
    <row r="121" spans="1:3" x14ac:dyDescent="0.25">
      <c r="A121" t="s">
        <v>122</v>
      </c>
      <c r="B121" s="1">
        <v>9.5</v>
      </c>
      <c r="C121">
        <v>120</v>
      </c>
    </row>
    <row r="122" spans="1:3" x14ac:dyDescent="0.25">
      <c r="A122" t="s">
        <v>123</v>
      </c>
      <c r="B122" s="1">
        <v>9.5875000000000004</v>
      </c>
      <c r="C122">
        <v>121</v>
      </c>
    </row>
    <row r="123" spans="1:3" x14ac:dyDescent="0.25">
      <c r="A123" t="s">
        <v>124</v>
      </c>
      <c r="B123" s="1">
        <v>9.71875</v>
      </c>
      <c r="C123">
        <v>122</v>
      </c>
    </row>
    <row r="124" spans="1:3" x14ac:dyDescent="0.25">
      <c r="A124" t="s">
        <v>125</v>
      </c>
      <c r="B124" s="1">
        <v>9.9499999999999993</v>
      </c>
      <c r="C124">
        <v>123</v>
      </c>
    </row>
    <row r="125" spans="1:3" x14ac:dyDescent="0.25">
      <c r="A125" t="s">
        <v>126</v>
      </c>
      <c r="B125" s="1">
        <v>9.75</v>
      </c>
      <c r="C125">
        <v>124</v>
      </c>
    </row>
    <row r="126" spans="1:3" x14ac:dyDescent="0.25">
      <c r="A126" t="s">
        <v>127</v>
      </c>
      <c r="B126" s="1">
        <v>9.9</v>
      </c>
      <c r="C126">
        <v>125</v>
      </c>
    </row>
    <row r="127" spans="1:3" x14ac:dyDescent="0.25">
      <c r="A127" t="s">
        <v>128</v>
      </c>
      <c r="B127" s="1">
        <v>9.9</v>
      </c>
      <c r="C127">
        <v>126</v>
      </c>
    </row>
    <row r="128" spans="1:3" x14ac:dyDescent="0.25">
      <c r="A128" t="s">
        <v>129</v>
      </c>
      <c r="B128" s="1">
        <v>9.8937500000000007</v>
      </c>
      <c r="C128">
        <v>127</v>
      </c>
    </row>
    <row r="129" spans="1:3" x14ac:dyDescent="0.25">
      <c r="A129" t="s">
        <v>130</v>
      </c>
      <c r="B129" s="1">
        <v>9.85</v>
      </c>
      <c r="C129">
        <v>128</v>
      </c>
    </row>
    <row r="130" spans="1:3" x14ac:dyDescent="0.25">
      <c r="A130" t="s">
        <v>131</v>
      </c>
      <c r="B130" s="1">
        <v>9.7976190476190492</v>
      </c>
      <c r="C130">
        <v>129</v>
      </c>
    </row>
    <row r="131" spans="1:3" x14ac:dyDescent="0.25">
      <c r="A131" t="s">
        <v>132</v>
      </c>
      <c r="B131" s="1">
        <v>9.8413043478260906</v>
      </c>
      <c r="C131">
        <v>130</v>
      </c>
    </row>
    <row r="132" spans="1:3" x14ac:dyDescent="0.25">
      <c r="A132" t="s">
        <v>133</v>
      </c>
      <c r="B132" s="1">
        <v>9.8642857142857103</v>
      </c>
      <c r="C132">
        <v>131</v>
      </c>
    </row>
    <row r="133" spans="1:3" x14ac:dyDescent="0.25">
      <c r="A133" t="s">
        <v>134</v>
      </c>
      <c r="B133" s="1">
        <v>9.8818181818181792</v>
      </c>
      <c r="C133">
        <v>132</v>
      </c>
    </row>
    <row r="134" spans="1:3" x14ac:dyDescent="0.25">
      <c r="A134" t="s">
        <v>135</v>
      </c>
      <c r="B134" s="1">
        <v>10.156521739130399</v>
      </c>
      <c r="C134">
        <v>133</v>
      </c>
    </row>
    <row r="135" spans="1:3" x14ac:dyDescent="0.25">
      <c r="A135" t="s">
        <v>136</v>
      </c>
      <c r="B135" s="1">
        <v>10.1</v>
      </c>
      <c r="C135">
        <v>134</v>
      </c>
    </row>
    <row r="136" spans="1:3" x14ac:dyDescent="0.25">
      <c r="A136" t="s">
        <v>137</v>
      </c>
      <c r="B136" s="1">
        <v>10.1</v>
      </c>
      <c r="C136">
        <v>135</v>
      </c>
    </row>
    <row r="137" spans="1:3" x14ac:dyDescent="0.25">
      <c r="A137" t="s">
        <v>138</v>
      </c>
      <c r="B137" s="1">
        <v>10.1</v>
      </c>
      <c r="C137">
        <v>136</v>
      </c>
    </row>
    <row r="138" spans="1:3" x14ac:dyDescent="0.25">
      <c r="A138" t="s">
        <v>139</v>
      </c>
      <c r="B138" s="1">
        <v>10.8954545454545</v>
      </c>
      <c r="C138">
        <v>137</v>
      </c>
    </row>
    <row r="139" spans="1:3" x14ac:dyDescent="0.25">
      <c r="A139" t="s">
        <v>140</v>
      </c>
      <c r="B139" s="1">
        <v>10.9</v>
      </c>
      <c r="C139">
        <v>138</v>
      </c>
    </row>
    <row r="140" spans="1:3" x14ac:dyDescent="0.25">
      <c r="A140" t="s">
        <v>141</v>
      </c>
      <c r="B140" s="1">
        <v>10.952173913043501</v>
      </c>
      <c r="C140">
        <v>139</v>
      </c>
    </row>
    <row r="141" spans="1:3" x14ac:dyDescent="0.25">
      <c r="A141" t="s">
        <v>142</v>
      </c>
      <c r="B141" s="1">
        <v>11.237500000000001</v>
      </c>
      <c r="C141">
        <v>140</v>
      </c>
    </row>
    <row r="142" spans="1:3" x14ac:dyDescent="0.25">
      <c r="A142" t="s">
        <v>143</v>
      </c>
      <c r="B142" s="1">
        <v>11.492857142857099</v>
      </c>
      <c r="C142">
        <v>141</v>
      </c>
    </row>
    <row r="143" spans="1:3" x14ac:dyDescent="0.25">
      <c r="A143" t="s">
        <v>144</v>
      </c>
      <c r="B143" s="1">
        <v>12.3722222222222</v>
      </c>
      <c r="C143">
        <v>142</v>
      </c>
    </row>
    <row r="144" spans="1:3" x14ac:dyDescent="0.25">
      <c r="A144" t="s">
        <v>145</v>
      </c>
      <c r="B144" s="1">
        <v>13.175000000000001</v>
      </c>
      <c r="C144">
        <v>143</v>
      </c>
    </row>
    <row r="145" spans="1:3" x14ac:dyDescent="0.25">
      <c r="A145" t="s">
        <v>146</v>
      </c>
      <c r="B145" s="1">
        <v>13.35</v>
      </c>
      <c r="C145">
        <v>144</v>
      </c>
    </row>
    <row r="146" spans="1:3" x14ac:dyDescent="0.25">
      <c r="A146" t="s">
        <v>147</v>
      </c>
      <c r="B146" s="1">
        <v>14.8</v>
      </c>
      <c r="C146">
        <v>145</v>
      </c>
    </row>
    <row r="147" spans="1:3" x14ac:dyDescent="0.25">
      <c r="A147" t="s">
        <v>148</v>
      </c>
      <c r="B147" s="1">
        <v>16.05</v>
      </c>
      <c r="C147">
        <v>146</v>
      </c>
    </row>
    <row r="148" spans="1:3" x14ac:dyDescent="0.25">
      <c r="A148" t="s">
        <v>149</v>
      </c>
      <c r="B148" s="1">
        <v>17.1388888888889</v>
      </c>
      <c r="C148">
        <v>147</v>
      </c>
    </row>
    <row r="149" spans="1:3" x14ac:dyDescent="0.25">
      <c r="A149" t="s">
        <v>150</v>
      </c>
      <c r="B149" s="1">
        <v>17.75</v>
      </c>
      <c r="C149">
        <v>148</v>
      </c>
    </row>
    <row r="150" spans="1:3" x14ac:dyDescent="0.25">
      <c r="A150" t="s">
        <v>151</v>
      </c>
      <c r="B150" s="1">
        <v>17.75</v>
      </c>
      <c r="C150">
        <v>149</v>
      </c>
    </row>
    <row r="151" spans="1:3" x14ac:dyDescent="0.25">
      <c r="A151" t="s">
        <v>152</v>
      </c>
      <c r="B151" s="1">
        <v>17.881250000000001</v>
      </c>
      <c r="C151">
        <v>150</v>
      </c>
    </row>
    <row r="152" spans="1:3" x14ac:dyDescent="0.25">
      <c r="A152" t="s">
        <v>153</v>
      </c>
      <c r="B152" s="1">
        <v>17.899999999999999</v>
      </c>
      <c r="C152">
        <v>151</v>
      </c>
    </row>
    <row r="153" spans="1:3" x14ac:dyDescent="0.25">
      <c r="A153" t="s">
        <v>154</v>
      </c>
      <c r="B153" s="1">
        <v>17.899999999999999</v>
      </c>
      <c r="C153">
        <v>152</v>
      </c>
    </row>
    <row r="154" spans="1:3" x14ac:dyDescent="0.25">
      <c r="A154" t="s">
        <v>155</v>
      </c>
      <c r="B154" s="1">
        <v>18.600000000000001</v>
      </c>
      <c r="C154">
        <v>153</v>
      </c>
    </row>
    <row r="155" spans="1:3" x14ac:dyDescent="0.25">
      <c r="A155" t="s">
        <v>156</v>
      </c>
      <c r="B155" s="1">
        <v>20.079999999999998</v>
      </c>
      <c r="C155">
        <v>154</v>
      </c>
    </row>
    <row r="156" spans="1:3" x14ac:dyDescent="0.25">
      <c r="A156" t="s">
        <v>157</v>
      </c>
      <c r="B156" s="1">
        <v>20.2</v>
      </c>
      <c r="C156">
        <v>155</v>
      </c>
    </row>
    <row r="157" spans="1:3" x14ac:dyDescent="0.25">
      <c r="A157" t="s">
        <v>158</v>
      </c>
      <c r="B157" s="1">
        <v>20.5</v>
      </c>
      <c r="C157">
        <v>156</v>
      </c>
    </row>
    <row r="158" spans="1:3" x14ac:dyDescent="0.25">
      <c r="A158" t="s">
        <v>159</v>
      </c>
      <c r="B158" s="1">
        <v>20.535714285714299</v>
      </c>
      <c r="C158">
        <v>157</v>
      </c>
    </row>
    <row r="159" spans="1:3" x14ac:dyDescent="0.25">
      <c r="A159" t="s">
        <v>160</v>
      </c>
      <c r="B159" s="1">
        <v>21.2</v>
      </c>
      <c r="C159">
        <v>158</v>
      </c>
    </row>
    <row r="160" spans="1:3" x14ac:dyDescent="0.25">
      <c r="A160" t="s">
        <v>161</v>
      </c>
      <c r="B160" s="1">
        <v>21.844444444444399</v>
      </c>
      <c r="C160">
        <v>159</v>
      </c>
    </row>
    <row r="161" spans="1:3" x14ac:dyDescent="0.25">
      <c r="A161" t="s">
        <v>162</v>
      </c>
      <c r="B161" s="1">
        <v>23.1444444444444</v>
      </c>
      <c r="C161">
        <v>160</v>
      </c>
    </row>
    <row r="162" spans="1:3" x14ac:dyDescent="0.25">
      <c r="A162" t="s">
        <v>163</v>
      </c>
      <c r="B162" s="1">
        <v>28.25</v>
      </c>
      <c r="C162">
        <v>161</v>
      </c>
    </row>
    <row r="163" spans="1:3" x14ac:dyDescent="0.25">
      <c r="A163" t="s">
        <v>164</v>
      </c>
      <c r="B163" s="1">
        <v>29</v>
      </c>
      <c r="C163">
        <v>162</v>
      </c>
    </row>
    <row r="164" spans="1:3" x14ac:dyDescent="0.25">
      <c r="A164" t="s">
        <v>165</v>
      </c>
      <c r="B164" s="1">
        <v>29.2777777777778</v>
      </c>
      <c r="C164">
        <v>163</v>
      </c>
    </row>
    <row r="165" spans="1:3" x14ac:dyDescent="0.25">
      <c r="A165" t="s">
        <v>166</v>
      </c>
      <c r="B165" s="1">
        <v>29.65</v>
      </c>
      <c r="C165">
        <v>164</v>
      </c>
    </row>
    <row r="166" spans="1:3" x14ac:dyDescent="0.25">
      <c r="A166" t="s">
        <v>167</v>
      </c>
      <c r="B166" s="1">
        <v>30.431249999999999</v>
      </c>
      <c r="C166">
        <v>165</v>
      </c>
    </row>
    <row r="167" spans="1:3" x14ac:dyDescent="0.25">
      <c r="A167" t="s">
        <v>168</v>
      </c>
      <c r="B167" s="1">
        <v>32.75</v>
      </c>
      <c r="C167">
        <v>166</v>
      </c>
    </row>
    <row r="168" spans="1:3" x14ac:dyDescent="0.25">
      <c r="A168" t="s">
        <v>169</v>
      </c>
      <c r="B168" s="1">
        <v>33.5555555555556</v>
      </c>
      <c r="C168">
        <v>167</v>
      </c>
    </row>
    <row r="169" spans="1:3" x14ac:dyDescent="0.25">
      <c r="A169" t="s">
        <v>170</v>
      </c>
      <c r="B169" s="1">
        <v>35.53125</v>
      </c>
      <c r="C169">
        <v>168</v>
      </c>
    </row>
    <row r="170" spans="1:3" x14ac:dyDescent="0.25">
      <c r="A170" t="s">
        <v>171</v>
      </c>
      <c r="B170" s="1">
        <v>36.75</v>
      </c>
      <c r="C170">
        <v>169</v>
      </c>
    </row>
    <row r="171" spans="1:3" x14ac:dyDescent="0.25">
      <c r="A171" t="s">
        <v>172</v>
      </c>
      <c r="B171" s="1">
        <v>37.6875</v>
      </c>
      <c r="C171">
        <v>170</v>
      </c>
    </row>
    <row r="172" spans="1:3" x14ac:dyDescent="0.25">
      <c r="A172" t="s">
        <v>173</v>
      </c>
      <c r="B172" s="1">
        <v>39.770000000000003</v>
      </c>
      <c r="C172">
        <v>171</v>
      </c>
    </row>
    <row r="173" spans="1:3" x14ac:dyDescent="0.25">
      <c r="A173" t="s">
        <v>174</v>
      </c>
      <c r="B173" s="1">
        <v>41.1</v>
      </c>
      <c r="C173">
        <v>172</v>
      </c>
    </row>
    <row r="174" spans="1:3" x14ac:dyDescent="0.25">
      <c r="A174" t="s">
        <v>175</v>
      </c>
      <c r="B174" s="1">
        <v>42.2777777777778</v>
      </c>
      <c r="C174">
        <v>173</v>
      </c>
    </row>
    <row r="175" spans="1:3" x14ac:dyDescent="0.25">
      <c r="A175" t="s">
        <v>176</v>
      </c>
      <c r="B175" s="1">
        <v>44.1666666666667</v>
      </c>
      <c r="C175">
        <v>174</v>
      </c>
    </row>
    <row r="176" spans="1:3" x14ac:dyDescent="0.25">
      <c r="A176" t="s">
        <v>177</v>
      </c>
      <c r="B176" s="1">
        <v>46.5</v>
      </c>
      <c r="C176">
        <v>175</v>
      </c>
    </row>
    <row r="177" spans="1:3" x14ac:dyDescent="0.25">
      <c r="A177" t="s">
        <v>178</v>
      </c>
      <c r="B177" s="1">
        <v>47.4444444444445</v>
      </c>
      <c r="C177">
        <v>176</v>
      </c>
    </row>
    <row r="178" spans="1:3" x14ac:dyDescent="0.25">
      <c r="A178" t="s">
        <v>179</v>
      </c>
      <c r="B178" s="1">
        <v>52.4444444444444</v>
      </c>
      <c r="C178">
        <v>177</v>
      </c>
    </row>
    <row r="179" spans="1:3" x14ac:dyDescent="0.25">
      <c r="A179" t="s">
        <v>180</v>
      </c>
      <c r="B179" s="1">
        <v>56.0625</v>
      </c>
      <c r="C179">
        <v>178</v>
      </c>
    </row>
    <row r="180" spans="1:3" x14ac:dyDescent="0.25">
      <c r="A180" t="s">
        <v>181</v>
      </c>
      <c r="B180" s="1">
        <v>61.4444444444444</v>
      </c>
      <c r="C180">
        <v>179</v>
      </c>
    </row>
    <row r="181" spans="1:3" x14ac:dyDescent="0.25">
      <c r="A181" t="s">
        <v>182</v>
      </c>
      <c r="B181" s="1">
        <v>66.571428571428598</v>
      </c>
      <c r="C181">
        <v>180</v>
      </c>
    </row>
    <row r="182" spans="1:3" x14ac:dyDescent="0.25">
      <c r="A182" t="s">
        <v>183</v>
      </c>
      <c r="B182" s="1">
        <v>72</v>
      </c>
      <c r="C182">
        <v>181</v>
      </c>
    </row>
    <row r="183" spans="1:3" x14ac:dyDescent="0.25">
      <c r="A183" t="s">
        <v>184</v>
      </c>
      <c r="B183" s="1">
        <v>76.25</v>
      </c>
      <c r="C183">
        <v>182</v>
      </c>
    </row>
    <row r="184" spans="1:3" x14ac:dyDescent="0.25">
      <c r="A184" t="s">
        <v>185</v>
      </c>
      <c r="B184" s="1">
        <v>89.4444444444445</v>
      </c>
      <c r="C184">
        <v>183</v>
      </c>
    </row>
    <row r="185" spans="1:3" x14ac:dyDescent="0.25">
      <c r="A185" t="s">
        <v>186</v>
      </c>
      <c r="B185" s="1">
        <v>110.428571428571</v>
      </c>
      <c r="C185">
        <v>184</v>
      </c>
    </row>
    <row r="186" spans="1:3" x14ac:dyDescent="0.25">
      <c r="A186" t="s">
        <v>187</v>
      </c>
      <c r="B186" s="1">
        <v>119.111111111111</v>
      </c>
      <c r="C186">
        <v>185</v>
      </c>
    </row>
    <row r="187" spans="1:3" x14ac:dyDescent="0.25">
      <c r="A187" t="s">
        <v>188</v>
      </c>
      <c r="B187" s="1">
        <v>136.222222222222</v>
      </c>
      <c r="C187">
        <v>186</v>
      </c>
    </row>
    <row r="188" spans="1:3" x14ac:dyDescent="0.25">
      <c r="A188" t="s">
        <v>189</v>
      </c>
      <c r="B188" s="1">
        <v>131.5</v>
      </c>
      <c r="C188">
        <v>187</v>
      </c>
    </row>
    <row r="189" spans="1:3" x14ac:dyDescent="0.25">
      <c r="A189" t="s">
        <v>190</v>
      </c>
      <c r="B189" s="1">
        <v>109.6</v>
      </c>
      <c r="C189">
        <v>188</v>
      </c>
    </row>
    <row r="190" spans="1:3" x14ac:dyDescent="0.25">
      <c r="A190" t="s">
        <v>191</v>
      </c>
      <c r="B190" s="1">
        <v>85</v>
      </c>
      <c r="C190">
        <v>189</v>
      </c>
    </row>
    <row r="191" spans="1:3" x14ac:dyDescent="0.25">
      <c r="A191" t="s">
        <v>192</v>
      </c>
      <c r="B191" s="1">
        <v>77.5</v>
      </c>
      <c r="C191">
        <v>190</v>
      </c>
    </row>
    <row r="192" spans="1:3" x14ac:dyDescent="0.25">
      <c r="A192" t="s">
        <v>193</v>
      </c>
      <c r="B192" s="1">
        <v>92</v>
      </c>
      <c r="C192">
        <v>191</v>
      </c>
    </row>
    <row r="193" spans="1:3" x14ac:dyDescent="0.25">
      <c r="A193" t="s">
        <v>194</v>
      </c>
      <c r="B193" s="1">
        <v>91.8</v>
      </c>
      <c r="C193">
        <v>192</v>
      </c>
    </row>
    <row r="194" spans="1:3" x14ac:dyDescent="0.25">
      <c r="A194" t="s">
        <v>195</v>
      </c>
      <c r="B194" s="1">
        <v>87.5555555555555</v>
      </c>
      <c r="C194">
        <v>193</v>
      </c>
    </row>
    <row r="195" spans="1:3" x14ac:dyDescent="0.25">
      <c r="A195" t="s">
        <v>196</v>
      </c>
      <c r="B195" s="1">
        <v>76</v>
      </c>
      <c r="C195">
        <v>194</v>
      </c>
    </row>
    <row r="196" spans="1:3" x14ac:dyDescent="0.25">
      <c r="A196" t="s">
        <v>197</v>
      </c>
      <c r="B196" s="1">
        <v>73.714285714285694</v>
      </c>
      <c r="C196">
        <v>195</v>
      </c>
    </row>
    <row r="197" spans="1:3" x14ac:dyDescent="0.25">
      <c r="A197" t="s">
        <v>198</v>
      </c>
      <c r="B197" s="1">
        <v>69.4444444444444</v>
      </c>
      <c r="C197">
        <v>196</v>
      </c>
    </row>
    <row r="198" spans="1:3" x14ac:dyDescent="0.25">
      <c r="A198" t="s">
        <v>199</v>
      </c>
      <c r="B198" s="1">
        <v>61.6666666666667</v>
      </c>
      <c r="C198">
        <v>197</v>
      </c>
    </row>
    <row r="199" spans="1:3" x14ac:dyDescent="0.25">
      <c r="A199" t="s">
        <v>200</v>
      </c>
      <c r="B199" s="1">
        <v>59</v>
      </c>
      <c r="C199">
        <v>198</v>
      </c>
    </row>
    <row r="200" spans="1:3" x14ac:dyDescent="0.25">
      <c r="A200" t="s">
        <v>201</v>
      </c>
      <c r="B200" s="1">
        <v>61.84375</v>
      </c>
      <c r="C200">
        <v>199</v>
      </c>
    </row>
    <row r="201" spans="1:3" x14ac:dyDescent="0.25">
      <c r="A201" t="s">
        <v>202</v>
      </c>
      <c r="B201" s="1">
        <v>64.5</v>
      </c>
      <c r="C201">
        <v>200</v>
      </c>
    </row>
    <row r="202" spans="1:3" x14ac:dyDescent="0.25">
      <c r="A202" t="s">
        <v>203</v>
      </c>
      <c r="B202" s="1">
        <v>63</v>
      </c>
      <c r="C202">
        <v>201</v>
      </c>
    </row>
    <row r="203" spans="1:3" x14ac:dyDescent="0.25">
      <c r="A203" t="s">
        <v>204</v>
      </c>
      <c r="B203" s="1">
        <v>48.6</v>
      </c>
      <c r="C203">
        <v>202</v>
      </c>
    </row>
    <row r="204" spans="1:3" x14ac:dyDescent="0.25">
      <c r="A204" t="s">
        <v>205</v>
      </c>
      <c r="B204" s="1">
        <v>50.5</v>
      </c>
      <c r="C204">
        <v>203</v>
      </c>
    </row>
    <row r="205" spans="1:3" x14ac:dyDescent="0.25">
      <c r="A205" t="s">
        <v>206</v>
      </c>
      <c r="B205" s="1">
        <v>54.3333333333333</v>
      </c>
      <c r="C205">
        <v>204</v>
      </c>
    </row>
    <row r="206" spans="1:3" x14ac:dyDescent="0.25">
      <c r="A206" t="s">
        <v>207</v>
      </c>
      <c r="B206" s="1">
        <v>51.4444444444444</v>
      </c>
      <c r="C206">
        <v>205</v>
      </c>
    </row>
    <row r="207" spans="1:3" x14ac:dyDescent="0.25">
      <c r="A207" t="s">
        <v>208</v>
      </c>
      <c r="B207" s="1">
        <v>47</v>
      </c>
      <c r="C207">
        <v>206</v>
      </c>
    </row>
    <row r="208" spans="1:3" x14ac:dyDescent="0.25">
      <c r="A208" t="s">
        <v>209</v>
      </c>
      <c r="B208" s="1">
        <v>43.375</v>
      </c>
      <c r="C208">
        <v>207</v>
      </c>
    </row>
    <row r="209" spans="1:3" x14ac:dyDescent="0.25">
      <c r="A209" t="s">
        <v>210</v>
      </c>
      <c r="B209" s="1">
        <v>41.71875</v>
      </c>
      <c r="C209">
        <v>208</v>
      </c>
    </row>
    <row r="210" spans="1:3" x14ac:dyDescent="0.25">
      <c r="A210" t="s">
        <v>211</v>
      </c>
      <c r="B210" s="1">
        <v>48.5555555555555</v>
      </c>
      <c r="C210">
        <v>209</v>
      </c>
    </row>
    <row r="211" spans="1:3" x14ac:dyDescent="0.25">
      <c r="A211" t="s">
        <v>212</v>
      </c>
      <c r="B211" s="1">
        <v>51.5</v>
      </c>
      <c r="C211">
        <v>210</v>
      </c>
    </row>
    <row r="212" spans="1:3" x14ac:dyDescent="0.25">
      <c r="A212" t="s">
        <v>213</v>
      </c>
      <c r="B212" s="1">
        <v>49.7</v>
      </c>
      <c r="C212">
        <v>211</v>
      </c>
    </row>
    <row r="213" spans="1:3" x14ac:dyDescent="0.25">
      <c r="A213" t="s">
        <v>214</v>
      </c>
      <c r="B213" s="1">
        <v>47.1875</v>
      </c>
      <c r="C213">
        <v>212</v>
      </c>
    </row>
    <row r="214" spans="1:3" x14ac:dyDescent="0.25">
      <c r="A214" t="s">
        <v>215</v>
      </c>
      <c r="B214" s="1">
        <v>44.2777777777778</v>
      </c>
      <c r="C214">
        <v>213</v>
      </c>
    </row>
    <row r="215" spans="1:3" x14ac:dyDescent="0.25">
      <c r="A215" t="s">
        <v>216</v>
      </c>
      <c r="B215" s="1">
        <v>46.1111111111111</v>
      </c>
      <c r="C215">
        <v>214</v>
      </c>
    </row>
    <row r="216" spans="1:3" x14ac:dyDescent="0.25">
      <c r="A216" t="s">
        <v>217</v>
      </c>
      <c r="B216" s="1">
        <v>44.75</v>
      </c>
      <c r="C216">
        <v>215</v>
      </c>
    </row>
    <row r="217" spans="1:3" x14ac:dyDescent="0.25">
      <c r="A217" t="s">
        <v>218</v>
      </c>
      <c r="B217" s="1">
        <v>44.4375</v>
      </c>
      <c r="C217">
        <v>216</v>
      </c>
    </row>
    <row r="218" spans="1:3" x14ac:dyDescent="0.25">
      <c r="A218" t="s">
        <v>219</v>
      </c>
      <c r="B218" s="1">
        <v>43.825000000000003</v>
      </c>
      <c r="C218">
        <v>217</v>
      </c>
    </row>
    <row r="219" spans="1:3" x14ac:dyDescent="0.25">
      <c r="A219" t="s">
        <v>220</v>
      </c>
      <c r="B219" s="1">
        <v>42.1</v>
      </c>
      <c r="C219">
        <v>218</v>
      </c>
    </row>
    <row r="220" spans="1:3" x14ac:dyDescent="0.25">
      <c r="A220" t="s">
        <v>221</v>
      </c>
      <c r="B220" s="1">
        <v>40.911111111111097</v>
      </c>
      <c r="C220">
        <v>219</v>
      </c>
    </row>
    <row r="221" spans="1:3" x14ac:dyDescent="0.25">
      <c r="A221" t="s">
        <v>222</v>
      </c>
      <c r="B221" s="1">
        <v>41.325000000000003</v>
      </c>
      <c r="C221">
        <v>220</v>
      </c>
    </row>
    <row r="222" spans="1:3" x14ac:dyDescent="0.25">
      <c r="A222" t="s">
        <v>223</v>
      </c>
      <c r="B222" s="1">
        <v>41.3</v>
      </c>
      <c r="C222">
        <v>221</v>
      </c>
    </row>
    <row r="223" spans="1:3" x14ac:dyDescent="0.25">
      <c r="A223" t="s">
        <v>224</v>
      </c>
      <c r="B223" s="1">
        <v>40.7777777777778</v>
      </c>
      <c r="C223">
        <v>222</v>
      </c>
    </row>
    <row r="224" spans="1:3" x14ac:dyDescent="0.25">
      <c r="A224" t="s">
        <v>225</v>
      </c>
      <c r="B224" s="1">
        <v>41.9444444444444</v>
      </c>
      <c r="C224">
        <v>223</v>
      </c>
    </row>
    <row r="225" spans="1:3" x14ac:dyDescent="0.25">
      <c r="A225" t="s">
        <v>226</v>
      </c>
      <c r="B225" s="1">
        <v>46.0625</v>
      </c>
      <c r="C225">
        <v>224</v>
      </c>
    </row>
    <row r="226" spans="1:3" x14ac:dyDescent="0.25">
      <c r="A226" t="s">
        <v>227</v>
      </c>
      <c r="B226" s="1">
        <v>46.6666666666667</v>
      </c>
      <c r="C226">
        <v>225</v>
      </c>
    </row>
    <row r="227" spans="1:3" x14ac:dyDescent="0.25">
      <c r="A227" t="s">
        <v>228</v>
      </c>
      <c r="B227" s="1">
        <v>48.8333333333333</v>
      </c>
      <c r="C227">
        <v>226</v>
      </c>
    </row>
    <row r="228" spans="1:3" x14ac:dyDescent="0.25">
      <c r="A228" t="s">
        <v>229</v>
      </c>
      <c r="B228" s="1">
        <v>57.162500000000001</v>
      </c>
      <c r="C228">
        <v>227</v>
      </c>
    </row>
    <row r="229" spans="1:3" x14ac:dyDescent="0.25">
      <c r="A229" t="s">
        <v>230</v>
      </c>
      <c r="B229" s="1">
        <v>60.625</v>
      </c>
      <c r="C229">
        <v>228</v>
      </c>
    </row>
    <row r="230" spans="1:3" x14ac:dyDescent="0.25">
      <c r="A230" t="s">
        <v>231</v>
      </c>
      <c r="B230" s="1">
        <v>63.875</v>
      </c>
      <c r="C230">
        <v>229</v>
      </c>
    </row>
    <row r="231" spans="1:3" x14ac:dyDescent="0.25">
      <c r="A231" t="s">
        <v>232</v>
      </c>
      <c r="B231" s="1">
        <v>65</v>
      </c>
      <c r="C231">
        <v>230</v>
      </c>
    </row>
    <row r="232" spans="1:3" x14ac:dyDescent="0.25">
      <c r="A232" t="s">
        <v>233</v>
      </c>
      <c r="B232" s="1">
        <v>63.5</v>
      </c>
      <c r="C232">
        <v>231</v>
      </c>
    </row>
    <row r="233" spans="1:3" x14ac:dyDescent="0.25">
      <c r="A233" t="s">
        <v>234</v>
      </c>
      <c r="B233" s="1">
        <v>57.821428571428598</v>
      </c>
      <c r="C233">
        <v>232</v>
      </c>
    </row>
    <row r="234" spans="1:3" x14ac:dyDescent="0.25">
      <c r="A234" t="s">
        <v>235</v>
      </c>
      <c r="B234" s="1">
        <v>56.0625</v>
      </c>
      <c r="C234">
        <v>233</v>
      </c>
    </row>
    <row r="235" spans="1:3" x14ac:dyDescent="0.25">
      <c r="A235" t="s">
        <v>236</v>
      </c>
      <c r="B235" s="1">
        <v>55.4</v>
      </c>
      <c r="C235">
        <v>234</v>
      </c>
    </row>
    <row r="236" spans="1:3" x14ac:dyDescent="0.25">
      <c r="A236" t="s">
        <v>237</v>
      </c>
      <c r="B236" s="1">
        <v>52.788888888888899</v>
      </c>
      <c r="C236">
        <v>235</v>
      </c>
    </row>
    <row r="237" spans="1:3" x14ac:dyDescent="0.25">
      <c r="A237" t="s">
        <v>238</v>
      </c>
      <c r="B237" s="1">
        <v>50.683333333333302</v>
      </c>
      <c r="C237">
        <v>236</v>
      </c>
    </row>
    <row r="238" spans="1:3" x14ac:dyDescent="0.25">
      <c r="A238" t="s">
        <v>239</v>
      </c>
      <c r="B238" s="1">
        <v>51.983333333333299</v>
      </c>
      <c r="C238">
        <v>237</v>
      </c>
    </row>
    <row r="239" spans="1:3" x14ac:dyDescent="0.25">
      <c r="A239" t="s">
        <v>240</v>
      </c>
      <c r="B239" s="1">
        <v>52.337499999999999</v>
      </c>
      <c r="C239">
        <v>238</v>
      </c>
    </row>
    <row r="240" spans="1:3" x14ac:dyDescent="0.25">
      <c r="A240" t="s">
        <v>241</v>
      </c>
      <c r="B240" s="1">
        <v>53.1944444444444</v>
      </c>
      <c r="C240">
        <v>239</v>
      </c>
    </row>
    <row r="241" spans="1:3" x14ac:dyDescent="0.25">
      <c r="A241" t="s">
        <v>242</v>
      </c>
      <c r="B241" s="1">
        <v>52.178571428571402</v>
      </c>
      <c r="C241">
        <v>240</v>
      </c>
    </row>
    <row r="242" spans="1:3" x14ac:dyDescent="0.25">
      <c r="A242" t="s">
        <v>243</v>
      </c>
      <c r="B242" s="1">
        <v>52.3125</v>
      </c>
      <c r="C242">
        <v>241</v>
      </c>
    </row>
    <row r="243" spans="1:3" x14ac:dyDescent="0.25">
      <c r="A243" t="s">
        <v>244</v>
      </c>
      <c r="B243" s="1">
        <v>52.0555555555556</v>
      </c>
      <c r="C243">
        <v>242</v>
      </c>
    </row>
    <row r="244" spans="1:3" x14ac:dyDescent="0.25">
      <c r="A244" t="s">
        <v>245</v>
      </c>
      <c r="B244" s="1">
        <v>51.288888888888899</v>
      </c>
      <c r="C244">
        <v>243</v>
      </c>
    </row>
    <row r="245" spans="1:3" x14ac:dyDescent="0.25">
      <c r="A245" t="s">
        <v>246</v>
      </c>
      <c r="B245" s="1">
        <v>51.3</v>
      </c>
      <c r="C245">
        <v>244</v>
      </c>
    </row>
    <row r="246" spans="1:3" x14ac:dyDescent="0.25">
      <c r="A246" t="s">
        <v>247</v>
      </c>
      <c r="B246" s="1">
        <v>51.8888888888889</v>
      </c>
      <c r="C246">
        <v>245</v>
      </c>
    </row>
    <row r="247" spans="1:3" x14ac:dyDescent="0.25">
      <c r="A247" t="s">
        <v>248</v>
      </c>
      <c r="B247" s="1">
        <v>50.8333333333333</v>
      </c>
      <c r="C247">
        <v>246</v>
      </c>
    </row>
    <row r="248" spans="1:3" x14ac:dyDescent="0.25">
      <c r="A248" t="s">
        <v>249</v>
      </c>
      <c r="B248" s="1">
        <v>50.355555555555597</v>
      </c>
      <c r="C248">
        <v>247</v>
      </c>
    </row>
    <row r="249" spans="1:3" x14ac:dyDescent="0.25">
      <c r="A249" t="s">
        <v>250</v>
      </c>
      <c r="B249" s="1">
        <v>49.25</v>
      </c>
      <c r="C249">
        <v>248</v>
      </c>
    </row>
    <row r="250" spans="1:3" x14ac:dyDescent="0.25">
      <c r="A250" t="s">
        <v>251</v>
      </c>
      <c r="B250" s="1">
        <v>47.725000000000001</v>
      </c>
      <c r="C250">
        <v>249</v>
      </c>
    </row>
    <row r="251" spans="1:3" x14ac:dyDescent="0.25">
      <c r="A251" t="s">
        <v>252</v>
      </c>
      <c r="B251" s="1">
        <v>44.6111111111111</v>
      </c>
      <c r="C251">
        <v>250</v>
      </c>
    </row>
    <row r="252" spans="1:3" x14ac:dyDescent="0.25">
      <c r="A252" t="s">
        <v>253</v>
      </c>
      <c r="B252" s="1">
        <v>41.5</v>
      </c>
      <c r="C252">
        <v>251</v>
      </c>
    </row>
    <row r="253" spans="1:3" x14ac:dyDescent="0.25">
      <c r="A253" t="s">
        <v>254</v>
      </c>
      <c r="B253" s="1">
        <v>43.6666666666667</v>
      </c>
      <c r="C253">
        <v>252</v>
      </c>
    </row>
    <row r="254" spans="1:3" x14ac:dyDescent="0.25">
      <c r="A254" t="s">
        <v>255</v>
      </c>
      <c r="B254" s="1">
        <v>42.75</v>
      </c>
      <c r="C254">
        <v>253</v>
      </c>
    </row>
    <row r="255" spans="1:3" x14ac:dyDescent="0.25">
      <c r="A255" t="s">
        <v>256</v>
      </c>
      <c r="B255" s="1">
        <v>43.40625</v>
      </c>
      <c r="C255">
        <v>254</v>
      </c>
    </row>
    <row r="256" spans="1:3" x14ac:dyDescent="0.25">
      <c r="A256" t="s">
        <v>257</v>
      </c>
      <c r="B256" s="1">
        <v>42.28125</v>
      </c>
      <c r="C256">
        <v>255</v>
      </c>
    </row>
    <row r="257" spans="1:3" x14ac:dyDescent="0.25">
      <c r="A257" t="s">
        <v>258</v>
      </c>
      <c r="B257" s="1">
        <v>41.412500000000001</v>
      </c>
      <c r="C257">
        <v>256</v>
      </c>
    </row>
    <row r="258" spans="1:3" x14ac:dyDescent="0.25">
      <c r="A258" t="s">
        <v>259</v>
      </c>
      <c r="B258" s="1">
        <v>40.604999999999997</v>
      </c>
      <c r="C258">
        <v>257</v>
      </c>
    </row>
    <row r="259" spans="1:3" x14ac:dyDescent="0.25">
      <c r="A259" t="s">
        <v>260</v>
      </c>
      <c r="B259" s="1">
        <v>39.9375</v>
      </c>
      <c r="C259">
        <v>258</v>
      </c>
    </row>
    <row r="260" spans="1:3" x14ac:dyDescent="0.25">
      <c r="A260" t="s">
        <v>261</v>
      </c>
      <c r="B260" s="1">
        <v>38.022222222222197</v>
      </c>
      <c r="C260">
        <v>259</v>
      </c>
    </row>
    <row r="261" spans="1:3" x14ac:dyDescent="0.25">
      <c r="A261" t="s">
        <v>262</v>
      </c>
      <c r="B261" s="1">
        <v>34.994162640901799</v>
      </c>
      <c r="C261">
        <v>260</v>
      </c>
    </row>
    <row r="262" spans="1:3" x14ac:dyDescent="0.25">
      <c r="A262" t="s">
        <v>263</v>
      </c>
      <c r="B262" s="1">
        <v>34.453286749482402</v>
      </c>
      <c r="C262">
        <v>261</v>
      </c>
    </row>
    <row r="263" spans="1:3" x14ac:dyDescent="0.25">
      <c r="A263" t="s">
        <v>264</v>
      </c>
      <c r="B263" s="1">
        <v>34.848495589161899</v>
      </c>
      <c r="C263">
        <v>262</v>
      </c>
    </row>
    <row r="264" spans="1:3" x14ac:dyDescent="0.25">
      <c r="A264" t="s">
        <v>265</v>
      </c>
      <c r="B264" s="1">
        <v>35.592003105590003</v>
      </c>
      <c r="C264">
        <v>263</v>
      </c>
    </row>
    <row r="265" spans="1:3" x14ac:dyDescent="0.25">
      <c r="A265" t="s">
        <v>266</v>
      </c>
      <c r="B265" s="1">
        <v>34.593297101449302</v>
      </c>
      <c r="C265">
        <v>264</v>
      </c>
    </row>
    <row r="266" spans="1:3" x14ac:dyDescent="0.25">
      <c r="A266" t="s">
        <v>267</v>
      </c>
      <c r="B266" s="1">
        <v>35.214988972904798</v>
      </c>
      <c r="C266">
        <v>265</v>
      </c>
    </row>
    <row r="267" spans="1:3" x14ac:dyDescent="0.25">
      <c r="A267" t="s">
        <v>268</v>
      </c>
      <c r="B267" s="1">
        <v>35.546739130434801</v>
      </c>
      <c r="C267">
        <v>266</v>
      </c>
    </row>
    <row r="268" spans="1:3" x14ac:dyDescent="0.25">
      <c r="A268" t="s">
        <v>269</v>
      </c>
      <c r="B268" s="1">
        <v>34.7028554175293</v>
      </c>
      <c r="C268">
        <v>267</v>
      </c>
    </row>
    <row r="269" spans="1:3" x14ac:dyDescent="0.25">
      <c r="A269" t="s">
        <v>270</v>
      </c>
      <c r="B269" s="1">
        <v>32.744565217391298</v>
      </c>
      <c r="C269">
        <v>268</v>
      </c>
    </row>
    <row r="270" spans="1:3" x14ac:dyDescent="0.25">
      <c r="A270" t="s">
        <v>271</v>
      </c>
      <c r="B270" s="1">
        <v>28.539855072463801</v>
      </c>
      <c r="C270">
        <v>269</v>
      </c>
    </row>
    <row r="271" spans="1:3" x14ac:dyDescent="0.25">
      <c r="A271" t="s">
        <v>272</v>
      </c>
      <c r="B271" s="1">
        <v>28.2254572118702</v>
      </c>
      <c r="C271">
        <v>270</v>
      </c>
    </row>
    <row r="272" spans="1:3" x14ac:dyDescent="0.25">
      <c r="A272" t="s">
        <v>273</v>
      </c>
      <c r="B272" s="1">
        <v>28.4002047889099</v>
      </c>
      <c r="C272">
        <v>271</v>
      </c>
    </row>
    <row r="273" spans="1:3" x14ac:dyDescent="0.25">
      <c r="A273" t="s">
        <v>274</v>
      </c>
      <c r="B273" s="1">
        <v>30.829321946169799</v>
      </c>
      <c r="C273">
        <v>272</v>
      </c>
    </row>
    <row r="274" spans="1:3" x14ac:dyDescent="0.25">
      <c r="A274" t="s">
        <v>275</v>
      </c>
      <c r="B274" s="1">
        <v>34.371829710144901</v>
      </c>
      <c r="C274">
        <v>273</v>
      </c>
    </row>
    <row r="275" spans="1:3" x14ac:dyDescent="0.25">
      <c r="A275" t="s">
        <v>276</v>
      </c>
      <c r="B275" s="1">
        <v>35.751732829237497</v>
      </c>
      <c r="C275">
        <v>274</v>
      </c>
    </row>
    <row r="276" spans="1:3" x14ac:dyDescent="0.25">
      <c r="A276" t="s">
        <v>277</v>
      </c>
      <c r="B276" s="1">
        <v>40.597373188405797</v>
      </c>
      <c r="C276">
        <v>275</v>
      </c>
    </row>
    <row r="277" spans="1:3" x14ac:dyDescent="0.25">
      <c r="A277" t="s">
        <v>278</v>
      </c>
      <c r="B277" s="1">
        <v>36.948251417769299</v>
      </c>
      <c r="C277">
        <v>276</v>
      </c>
    </row>
    <row r="278" spans="1:3" x14ac:dyDescent="0.25">
      <c r="A278" t="s">
        <v>279</v>
      </c>
      <c r="B278" s="1">
        <v>35.897727272727302</v>
      </c>
      <c r="C278">
        <v>277</v>
      </c>
    </row>
    <row r="279" spans="1:3" x14ac:dyDescent="0.25">
      <c r="A279" t="s">
        <v>280</v>
      </c>
      <c r="B279" s="1">
        <v>38.1875</v>
      </c>
      <c r="C279">
        <v>278</v>
      </c>
    </row>
    <row r="280" spans="1:3" x14ac:dyDescent="0.25">
      <c r="A280" t="s">
        <v>281</v>
      </c>
      <c r="B280" s="1">
        <v>39.318181818181799</v>
      </c>
      <c r="C280">
        <v>279</v>
      </c>
    </row>
    <row r="281" spans="1:3" x14ac:dyDescent="0.25">
      <c r="A281" t="s">
        <v>282</v>
      </c>
      <c r="B281" s="1">
        <v>38.840909090909101</v>
      </c>
      <c r="C281">
        <v>280</v>
      </c>
    </row>
    <row r="282" spans="1:3" x14ac:dyDescent="0.25">
      <c r="A282" t="s">
        <v>283</v>
      </c>
      <c r="B282" s="1">
        <v>35.690476190476197</v>
      </c>
      <c r="C282">
        <v>281</v>
      </c>
    </row>
    <row r="283" spans="1:3" x14ac:dyDescent="0.25">
      <c r="A283" t="s">
        <v>284</v>
      </c>
      <c r="B283" s="1">
        <v>36.045454545454497</v>
      </c>
      <c r="C283">
        <v>282</v>
      </c>
    </row>
    <row r="284" spans="1:3" x14ac:dyDescent="0.25">
      <c r="A284" t="s">
        <v>285</v>
      </c>
      <c r="B284" s="1">
        <v>36.2826086956522</v>
      </c>
      <c r="C284">
        <v>283</v>
      </c>
    </row>
    <row r="285" spans="1:3" x14ac:dyDescent="0.25">
      <c r="A285" t="s">
        <v>286</v>
      </c>
      <c r="B285" s="1">
        <v>36.095238095238102</v>
      </c>
      <c r="C285">
        <v>284</v>
      </c>
    </row>
    <row r="286" spans="1:3" x14ac:dyDescent="0.25">
      <c r="A286" t="s">
        <v>287</v>
      </c>
      <c r="B286" s="1">
        <v>37.056818181818201</v>
      </c>
      <c r="C286">
        <v>285</v>
      </c>
    </row>
    <row r="287" spans="1:3" x14ac:dyDescent="0.25">
      <c r="A287" t="s">
        <v>288</v>
      </c>
      <c r="B287" s="1">
        <v>37.238636363636402</v>
      </c>
      <c r="C287">
        <v>286</v>
      </c>
    </row>
    <row r="288" spans="1:3" x14ac:dyDescent="0.25">
      <c r="A288" t="s">
        <v>289</v>
      </c>
      <c r="B288" s="1">
        <v>35.964285714285701</v>
      </c>
      <c r="C288">
        <v>287</v>
      </c>
    </row>
    <row r="289" spans="1:3" x14ac:dyDescent="0.25">
      <c r="A289" t="s">
        <v>290</v>
      </c>
      <c r="B289" s="1">
        <v>35.163043478260903</v>
      </c>
      <c r="C289">
        <v>288</v>
      </c>
    </row>
    <row r="290" spans="1:3" x14ac:dyDescent="0.25">
      <c r="A290" t="s">
        <v>291</v>
      </c>
      <c r="B290" s="1">
        <v>34.690476190476197</v>
      </c>
      <c r="C290">
        <v>289</v>
      </c>
    </row>
    <row r="291" spans="1:3" x14ac:dyDescent="0.25">
      <c r="A291" t="s">
        <v>292</v>
      </c>
      <c r="B291" s="1">
        <v>34.007142857142902</v>
      </c>
      <c r="C291">
        <v>290</v>
      </c>
    </row>
    <row r="292" spans="1:3" x14ac:dyDescent="0.25">
      <c r="A292" t="s">
        <v>293</v>
      </c>
      <c r="B292" s="1">
        <v>30.1065217391304</v>
      </c>
      <c r="C292">
        <v>291</v>
      </c>
    </row>
    <row r="293" spans="1:3" x14ac:dyDescent="0.25">
      <c r="A293" t="s">
        <v>294</v>
      </c>
      <c r="B293" s="1">
        <v>27.816666666666698</v>
      </c>
      <c r="C293">
        <v>292</v>
      </c>
    </row>
    <row r="294" spans="1:3" x14ac:dyDescent="0.25">
      <c r="A294" t="s">
        <v>295</v>
      </c>
      <c r="B294" s="1">
        <v>27.954545454545499</v>
      </c>
      <c r="C294">
        <v>293</v>
      </c>
    </row>
    <row r="295" spans="1:3" x14ac:dyDescent="0.25">
      <c r="A295" t="s">
        <v>296</v>
      </c>
      <c r="B295" s="1">
        <v>27.352272727272702</v>
      </c>
      <c r="C295">
        <v>294</v>
      </c>
    </row>
    <row r="296" spans="1:3" x14ac:dyDescent="0.25">
      <c r="A296" t="s">
        <v>297</v>
      </c>
      <c r="B296" s="1">
        <v>25.845238095238098</v>
      </c>
      <c r="C296">
        <v>295</v>
      </c>
    </row>
    <row r="297" spans="1:3" x14ac:dyDescent="0.25">
      <c r="A297" t="s">
        <v>298</v>
      </c>
      <c r="B297" s="1">
        <v>25.902173913043502</v>
      </c>
      <c r="C297">
        <v>296</v>
      </c>
    </row>
    <row r="298" spans="1:3" x14ac:dyDescent="0.25">
      <c r="A298" t="s">
        <v>299</v>
      </c>
      <c r="B298" s="1">
        <v>24.875</v>
      </c>
      <c r="C298">
        <v>297</v>
      </c>
    </row>
    <row r="299" spans="1:3" x14ac:dyDescent="0.25">
      <c r="A299" t="s">
        <v>300</v>
      </c>
      <c r="B299" s="1">
        <v>21.488095238095202</v>
      </c>
      <c r="C299">
        <v>298</v>
      </c>
    </row>
    <row r="300" spans="1:3" x14ac:dyDescent="0.25">
      <c r="A300" t="s">
        <v>301</v>
      </c>
      <c r="B300" s="1">
        <v>18.568181818181799</v>
      </c>
      <c r="C300">
        <v>299</v>
      </c>
    </row>
    <row r="301" spans="1:3" x14ac:dyDescent="0.25">
      <c r="A301" t="s">
        <v>302</v>
      </c>
      <c r="B301" s="1">
        <v>19.215909090909101</v>
      </c>
      <c r="C301">
        <v>300</v>
      </c>
    </row>
    <row r="302" spans="1:3" x14ac:dyDescent="0.25">
      <c r="A302" t="s">
        <v>303</v>
      </c>
      <c r="B302" s="1">
        <v>22.170454545454501</v>
      </c>
      <c r="C302">
        <v>301</v>
      </c>
    </row>
    <row r="303" spans="1:3" x14ac:dyDescent="0.25">
      <c r="A303" t="s">
        <v>304</v>
      </c>
      <c r="B303" s="1">
        <v>25.15</v>
      </c>
      <c r="C303">
        <v>302</v>
      </c>
    </row>
    <row r="304" spans="1:3" x14ac:dyDescent="0.25">
      <c r="A304" t="s">
        <v>305</v>
      </c>
      <c r="B304" s="1">
        <v>24.6413043478261</v>
      </c>
      <c r="C304">
        <v>303</v>
      </c>
    </row>
    <row r="305" spans="1:3" x14ac:dyDescent="0.25">
      <c r="A305" t="s">
        <v>306</v>
      </c>
      <c r="B305" s="1">
        <v>23.25</v>
      </c>
      <c r="C305">
        <v>304</v>
      </c>
    </row>
    <row r="306" spans="1:3" x14ac:dyDescent="0.25">
      <c r="A306" t="s">
        <v>307</v>
      </c>
      <c r="B306" s="1">
        <v>21.6413043478261</v>
      </c>
      <c r="C306">
        <v>305</v>
      </c>
    </row>
    <row r="307" spans="1:3" x14ac:dyDescent="0.25">
      <c r="A307" t="s">
        <v>308</v>
      </c>
      <c r="B307" s="1">
        <v>19.75</v>
      </c>
      <c r="C307">
        <v>306</v>
      </c>
    </row>
    <row r="308" spans="1:3" x14ac:dyDescent="0.25">
      <c r="A308" t="s">
        <v>309</v>
      </c>
      <c r="B308" s="1">
        <v>20.3642857142857</v>
      </c>
      <c r="C308">
        <v>307</v>
      </c>
    </row>
    <row r="309" spans="1:3" x14ac:dyDescent="0.25">
      <c r="A309" t="s">
        <v>310</v>
      </c>
      <c r="B309" s="1">
        <v>20.406521739130401</v>
      </c>
      <c r="C309">
        <v>308</v>
      </c>
    </row>
    <row r="310" spans="1:3" x14ac:dyDescent="0.25">
      <c r="A310" t="s">
        <v>311</v>
      </c>
      <c r="B310" s="1">
        <v>20.428571428571399</v>
      </c>
      <c r="C310">
        <v>309</v>
      </c>
    </row>
    <row r="311" spans="1:3" x14ac:dyDescent="0.25">
      <c r="A311" t="s">
        <v>312</v>
      </c>
      <c r="B311" s="1">
        <v>20.234090909090899</v>
      </c>
      <c r="C311">
        <v>310</v>
      </c>
    </row>
    <row r="312" spans="1:3" x14ac:dyDescent="0.25">
      <c r="A312" t="s">
        <v>313</v>
      </c>
      <c r="B312" s="1">
        <v>22.345454545454501</v>
      </c>
      <c r="C312">
        <v>311</v>
      </c>
    </row>
    <row r="313" spans="1:3" x14ac:dyDescent="0.25">
      <c r="A313" t="s">
        <v>314</v>
      </c>
      <c r="B313" s="1">
        <v>24.6904761904762</v>
      </c>
      <c r="C313">
        <v>312</v>
      </c>
    </row>
    <row r="314" spans="1:3" x14ac:dyDescent="0.25">
      <c r="A314" t="s">
        <v>315</v>
      </c>
      <c r="B314" s="1">
        <v>23.369565217391301</v>
      </c>
      <c r="C314">
        <v>313</v>
      </c>
    </row>
    <row r="315" spans="1:3" x14ac:dyDescent="0.25">
      <c r="A315" t="s">
        <v>316</v>
      </c>
      <c r="B315" s="1">
        <v>21.762499999999999</v>
      </c>
      <c r="C315">
        <v>314</v>
      </c>
    </row>
    <row r="316" spans="1:3" x14ac:dyDescent="0.25">
      <c r="A316" t="s">
        <v>317</v>
      </c>
      <c r="B316" s="1">
        <v>21.727272727272702</v>
      </c>
      <c r="C316">
        <v>315</v>
      </c>
    </row>
    <row r="317" spans="1:3" x14ac:dyDescent="0.25">
      <c r="A317" t="s">
        <v>318</v>
      </c>
      <c r="B317" s="1">
        <v>20.845238095238098</v>
      </c>
      <c r="C317">
        <v>316</v>
      </c>
    </row>
    <row r="318" spans="1:3" x14ac:dyDescent="0.25">
      <c r="A318" t="s">
        <v>319</v>
      </c>
      <c r="B318" s="1">
        <v>21.978260869565201</v>
      </c>
      <c r="C318">
        <v>317</v>
      </c>
    </row>
    <row r="319" spans="1:3" x14ac:dyDescent="0.25">
      <c r="A319" t="s">
        <v>320</v>
      </c>
      <c r="B319" s="1">
        <v>23.071428571428601</v>
      </c>
      <c r="C319">
        <v>318</v>
      </c>
    </row>
    <row r="320" spans="1:3" x14ac:dyDescent="0.25">
      <c r="A320" t="s">
        <v>321</v>
      </c>
      <c r="B320" s="1">
        <v>23.4159090909091</v>
      </c>
      <c r="C320">
        <v>319</v>
      </c>
    </row>
    <row r="321" spans="1:3" x14ac:dyDescent="0.25">
      <c r="A321" t="s">
        <v>322</v>
      </c>
      <c r="B321" s="1">
        <v>26.047826086956501</v>
      </c>
      <c r="C321">
        <v>320</v>
      </c>
    </row>
    <row r="322" spans="1:3" x14ac:dyDescent="0.25">
      <c r="A322" t="s">
        <v>323</v>
      </c>
      <c r="B322" s="1">
        <v>27.107500000000002</v>
      </c>
      <c r="C322">
        <v>321</v>
      </c>
    </row>
    <row r="323" spans="1:3" x14ac:dyDescent="0.25">
      <c r="A323" t="s">
        <v>324</v>
      </c>
      <c r="B323" s="1">
        <v>27.508695652173898</v>
      </c>
      <c r="C323">
        <v>322</v>
      </c>
    </row>
    <row r="324" spans="1:3" x14ac:dyDescent="0.25">
      <c r="A324" t="s">
        <v>325</v>
      </c>
      <c r="B324" s="1">
        <v>28.934090909090902</v>
      </c>
      <c r="C324">
        <v>323</v>
      </c>
    </row>
    <row r="325" spans="1:3" x14ac:dyDescent="0.25">
      <c r="A325" t="s">
        <v>326</v>
      </c>
      <c r="B325" s="1">
        <v>28.761904761904798</v>
      </c>
      <c r="C325">
        <v>324</v>
      </c>
    </row>
    <row r="326" spans="1:3" x14ac:dyDescent="0.25">
      <c r="A326" t="s">
        <v>327</v>
      </c>
      <c r="B326" s="1">
        <v>28.710869565217401</v>
      </c>
      <c r="C326">
        <v>325</v>
      </c>
    </row>
    <row r="327" spans="1:3" x14ac:dyDescent="0.25">
      <c r="A327" t="s">
        <v>328</v>
      </c>
      <c r="B327" s="1">
        <v>28.645</v>
      </c>
      <c r="C327">
        <v>326</v>
      </c>
    </row>
    <row r="328" spans="1:3" x14ac:dyDescent="0.25">
      <c r="A328" t="s">
        <v>329</v>
      </c>
      <c r="B328" s="1">
        <v>27.202380952380999</v>
      </c>
      <c r="C328">
        <v>327</v>
      </c>
    </row>
    <row r="329" spans="1:3" x14ac:dyDescent="0.25">
      <c r="A329" t="s">
        <v>330</v>
      </c>
      <c r="B329" s="1">
        <v>25.704545454545499</v>
      </c>
      <c r="C329">
        <v>328</v>
      </c>
    </row>
    <row r="330" spans="1:3" x14ac:dyDescent="0.25">
      <c r="A330" t="s">
        <v>331</v>
      </c>
      <c r="B330" s="1">
        <v>24.684782608695599</v>
      </c>
      <c r="C330">
        <v>329</v>
      </c>
    </row>
    <row r="331" spans="1:3" x14ac:dyDescent="0.25">
      <c r="A331" t="s">
        <v>332</v>
      </c>
      <c r="B331" s="1">
        <v>24.475000000000001</v>
      </c>
      <c r="C331">
        <v>330</v>
      </c>
    </row>
    <row r="332" spans="1:3" x14ac:dyDescent="0.25">
      <c r="A332" t="s">
        <v>333</v>
      </c>
      <c r="B332" s="1">
        <v>25.228260869565201</v>
      </c>
      <c r="C332">
        <v>331</v>
      </c>
    </row>
    <row r="333" spans="1:3" x14ac:dyDescent="0.25">
      <c r="A333" t="s">
        <v>334</v>
      </c>
      <c r="B333" s="1">
        <v>25.284090909090899</v>
      </c>
      <c r="C333">
        <v>332</v>
      </c>
    </row>
    <row r="334" spans="1:3" x14ac:dyDescent="0.25">
      <c r="A334" t="s">
        <v>335</v>
      </c>
      <c r="B334" s="1">
        <v>25.4119047619048</v>
      </c>
      <c r="C334">
        <v>333</v>
      </c>
    </row>
    <row r="335" spans="1:3" x14ac:dyDescent="0.25">
      <c r="A335" t="s">
        <v>336</v>
      </c>
      <c r="B335" s="1">
        <v>24.917391304347799</v>
      </c>
      <c r="C335">
        <v>334</v>
      </c>
    </row>
    <row r="336" spans="1:3" x14ac:dyDescent="0.25">
      <c r="A336" t="s">
        <v>337</v>
      </c>
      <c r="B336" s="1">
        <v>24.988095238095202</v>
      </c>
      <c r="C336">
        <v>335</v>
      </c>
    </row>
    <row r="337" spans="1:3" x14ac:dyDescent="0.25">
      <c r="A337" t="s">
        <v>338</v>
      </c>
      <c r="B337" s="1">
        <v>25.625</v>
      </c>
      <c r="C337">
        <v>336</v>
      </c>
    </row>
    <row r="338" spans="1:3" x14ac:dyDescent="0.25">
      <c r="A338" t="s">
        <v>339</v>
      </c>
      <c r="B338" s="1">
        <v>24.6413043478261</v>
      </c>
      <c r="C338">
        <v>337</v>
      </c>
    </row>
    <row r="339" spans="1:3" x14ac:dyDescent="0.25">
      <c r="A339" t="s">
        <v>340</v>
      </c>
      <c r="B339" s="1">
        <v>24.6875</v>
      </c>
      <c r="C339">
        <v>338</v>
      </c>
    </row>
    <row r="340" spans="1:3" x14ac:dyDescent="0.25">
      <c r="A340" t="s">
        <v>341</v>
      </c>
      <c r="B340" s="1">
        <v>24.6613636363636</v>
      </c>
      <c r="C340">
        <v>339</v>
      </c>
    </row>
    <row r="341" spans="1:3" x14ac:dyDescent="0.25">
      <c r="A341" t="s">
        <v>342</v>
      </c>
      <c r="B341" s="1">
        <v>29.9636363636364</v>
      </c>
      <c r="C341">
        <v>340</v>
      </c>
    </row>
    <row r="342" spans="1:3" x14ac:dyDescent="0.25">
      <c r="A342" t="s">
        <v>343</v>
      </c>
      <c r="B342" s="1">
        <v>33.511904761904802</v>
      </c>
      <c r="C342">
        <v>341</v>
      </c>
    </row>
    <row r="343" spans="1:3" x14ac:dyDescent="0.25">
      <c r="A343" t="s">
        <v>344</v>
      </c>
      <c r="B343" s="1">
        <v>33.088636363636397</v>
      </c>
      <c r="C343">
        <v>342</v>
      </c>
    </row>
    <row r="344" spans="1:3" x14ac:dyDescent="0.25">
      <c r="A344" t="s">
        <v>345</v>
      </c>
      <c r="B344" s="1">
        <v>32.360869565217399</v>
      </c>
      <c r="C344">
        <v>343</v>
      </c>
    </row>
    <row r="345" spans="1:3" x14ac:dyDescent="0.25">
      <c r="A345" t="s">
        <v>346</v>
      </c>
      <c r="B345" s="1">
        <v>31.376190476190501</v>
      </c>
      <c r="C345">
        <v>344</v>
      </c>
    </row>
    <row r="346" spans="1:3" x14ac:dyDescent="0.25">
      <c r="A346" t="s">
        <v>347</v>
      </c>
      <c r="B346" s="1">
        <v>29.981818181818198</v>
      </c>
      <c r="C346">
        <v>345</v>
      </c>
    </row>
    <row r="347" spans="1:3" x14ac:dyDescent="0.25">
      <c r="A347" t="s">
        <v>348</v>
      </c>
      <c r="B347" s="1">
        <v>29.636363636363601</v>
      </c>
      <c r="C347">
        <v>346</v>
      </c>
    </row>
    <row r="348" spans="1:3" x14ac:dyDescent="0.25">
      <c r="A348" t="s">
        <v>349</v>
      </c>
      <c r="B348" s="1">
        <v>29.485714285714302</v>
      </c>
      <c r="C348">
        <v>347</v>
      </c>
    </row>
    <row r="349" spans="1:3" x14ac:dyDescent="0.25">
      <c r="A349" t="s">
        <v>350</v>
      </c>
      <c r="B349" s="1">
        <v>29.773913043478299</v>
      </c>
      <c r="C349">
        <v>348</v>
      </c>
    </row>
    <row r="350" spans="1:3" x14ac:dyDescent="0.25">
      <c r="A350" t="s">
        <v>351</v>
      </c>
      <c r="B350" s="1">
        <v>29.8571428571429</v>
      </c>
      <c r="C350">
        <v>349</v>
      </c>
    </row>
    <row r="351" spans="1:3" x14ac:dyDescent="0.25">
      <c r="A351" t="s">
        <v>352</v>
      </c>
      <c r="B351" s="1">
        <v>28.662500000000001</v>
      </c>
      <c r="C351">
        <v>350</v>
      </c>
    </row>
    <row r="352" spans="1:3" x14ac:dyDescent="0.25">
      <c r="A352" t="s">
        <v>353</v>
      </c>
      <c r="B352" s="1">
        <v>28.334782608695701</v>
      </c>
      <c r="C352">
        <v>351</v>
      </c>
    </row>
    <row r="353" spans="1:3" x14ac:dyDescent="0.25">
      <c r="A353" t="s">
        <v>354</v>
      </c>
      <c r="B353" s="1">
        <v>29.7522727272727</v>
      </c>
      <c r="C353">
        <v>352</v>
      </c>
    </row>
    <row r="354" spans="1:3" x14ac:dyDescent="0.25">
      <c r="A354" t="s">
        <v>355</v>
      </c>
      <c r="B354" s="1">
        <v>30.257142857142899</v>
      </c>
      <c r="C354">
        <v>353</v>
      </c>
    </row>
    <row r="355" spans="1:3" x14ac:dyDescent="0.25">
      <c r="A355" t="s">
        <v>356</v>
      </c>
      <c r="B355" s="1">
        <v>32.142105263157902</v>
      </c>
      <c r="C355">
        <v>354</v>
      </c>
    </row>
    <row r="356" spans="1:3" x14ac:dyDescent="0.25">
      <c r="A356" t="s">
        <v>357</v>
      </c>
      <c r="B356" s="1">
        <v>32.338636363636397</v>
      </c>
      <c r="C356">
        <v>355</v>
      </c>
    </row>
    <row r="357" spans="1:3" x14ac:dyDescent="0.25">
      <c r="A357" t="s">
        <v>358</v>
      </c>
      <c r="B357" s="1">
        <v>32.147727272727302</v>
      </c>
      <c r="C357">
        <v>356</v>
      </c>
    </row>
    <row r="358" spans="1:3" x14ac:dyDescent="0.25">
      <c r="A358" t="s">
        <v>359</v>
      </c>
      <c r="B358" s="1">
        <v>45.078125</v>
      </c>
      <c r="C358">
        <v>357</v>
      </c>
    </row>
    <row r="359" spans="1:3" x14ac:dyDescent="0.25">
      <c r="A359" t="s">
        <v>360</v>
      </c>
      <c r="B359" s="1">
        <v>38.476190476190503</v>
      </c>
      <c r="C359">
        <v>358</v>
      </c>
    </row>
    <row r="360" spans="1:3" x14ac:dyDescent="0.25">
      <c r="A360" t="s">
        <v>361</v>
      </c>
      <c r="B360" s="1">
        <v>31.099584036972999</v>
      </c>
      <c r="C360">
        <v>359</v>
      </c>
    </row>
    <row r="361" spans="1:3" x14ac:dyDescent="0.25">
      <c r="A361" t="s">
        <v>362</v>
      </c>
      <c r="B361" s="1">
        <v>36.129303027444998</v>
      </c>
      <c r="C361">
        <v>360</v>
      </c>
    </row>
    <row r="362" spans="1:3" x14ac:dyDescent="0.25">
      <c r="A362" t="s">
        <v>363</v>
      </c>
      <c r="B362" s="1">
        <v>36.872921185827899</v>
      </c>
      <c r="C362">
        <v>361</v>
      </c>
    </row>
    <row r="363" spans="1:3" x14ac:dyDescent="0.25">
      <c r="A363" t="s">
        <v>364</v>
      </c>
      <c r="B363" s="1">
        <v>35.8319143167028</v>
      </c>
      <c r="C363">
        <v>362</v>
      </c>
    </row>
    <row r="364" spans="1:3" x14ac:dyDescent="0.25">
      <c r="A364" t="s">
        <v>365</v>
      </c>
      <c r="B364" s="1">
        <v>45.514701028010897</v>
      </c>
      <c r="C364">
        <v>363</v>
      </c>
    </row>
    <row r="365" spans="1:3" x14ac:dyDescent="0.25">
      <c r="A365" t="s">
        <v>366</v>
      </c>
      <c r="B365" s="1">
        <v>48.704730916227597</v>
      </c>
      <c r="C365">
        <v>364</v>
      </c>
    </row>
    <row r="366" spans="1:3" x14ac:dyDescent="0.25">
      <c r="A366" t="s">
        <v>367</v>
      </c>
      <c r="B366" s="1">
        <v>40.891626405048299</v>
      </c>
      <c r="C366">
        <v>365</v>
      </c>
    </row>
    <row r="367" spans="1:3" x14ac:dyDescent="0.25">
      <c r="A367" t="s">
        <v>368</v>
      </c>
      <c r="B367" s="1">
        <v>40.331517452179</v>
      </c>
      <c r="C367">
        <v>366</v>
      </c>
    </row>
    <row r="368" spans="1:3" x14ac:dyDescent="0.25">
      <c r="A368" t="s">
        <v>369</v>
      </c>
      <c r="B368" s="1">
        <v>38.939159177770797</v>
      </c>
      <c r="C368">
        <v>367</v>
      </c>
    </row>
    <row r="369" spans="1:3" x14ac:dyDescent="0.25">
      <c r="A369" t="s">
        <v>370</v>
      </c>
      <c r="B369" s="1">
        <v>39.802308308969103</v>
      </c>
      <c r="C369">
        <v>368</v>
      </c>
    </row>
    <row r="370" spans="1:3" x14ac:dyDescent="0.25">
      <c r="A370" t="s">
        <v>371</v>
      </c>
      <c r="B370" s="1">
        <v>40.950391934529598</v>
      </c>
      <c r="C370">
        <v>369</v>
      </c>
    </row>
    <row r="371" spans="1:3" x14ac:dyDescent="0.25">
      <c r="A371" t="s">
        <v>372</v>
      </c>
      <c r="B371" s="1">
        <v>41.303597252349903</v>
      </c>
      <c r="C371">
        <v>370</v>
      </c>
    </row>
    <row r="372" spans="1:3" x14ac:dyDescent="0.25">
      <c r="A372" t="s">
        <v>373</v>
      </c>
      <c r="B372" s="1">
        <v>40.954064780122202</v>
      </c>
      <c r="C372">
        <v>371</v>
      </c>
    </row>
    <row r="373" spans="1:3" x14ac:dyDescent="0.25">
      <c r="A373" t="s">
        <v>374</v>
      </c>
      <c r="B373" s="1">
        <v>39.178243936107201</v>
      </c>
      <c r="C373">
        <v>372</v>
      </c>
    </row>
    <row r="374" spans="1:3" x14ac:dyDescent="0.25">
      <c r="A374" t="s">
        <v>375</v>
      </c>
      <c r="B374" s="1">
        <v>40.063399723920199</v>
      </c>
      <c r="C374">
        <v>373</v>
      </c>
    </row>
    <row r="375" spans="1:3" x14ac:dyDescent="0.25">
      <c r="A375" t="s">
        <v>376</v>
      </c>
      <c r="B375" s="1">
        <v>41.314370932754798</v>
      </c>
      <c r="C375">
        <v>374</v>
      </c>
    </row>
    <row r="376" spans="1:3" x14ac:dyDescent="0.25">
      <c r="A376" t="s">
        <v>377</v>
      </c>
      <c r="B376" s="1">
        <v>40.741523004909098</v>
      </c>
      <c r="C376">
        <v>375</v>
      </c>
    </row>
    <row r="377" spans="1:3" x14ac:dyDescent="0.25">
      <c r="A377" t="s">
        <v>378</v>
      </c>
      <c r="B377" s="1">
        <v>41.762017353579097</v>
      </c>
      <c r="C377">
        <v>376</v>
      </c>
    </row>
    <row r="378" spans="1:3" x14ac:dyDescent="0.25">
      <c r="A378" t="s">
        <v>379</v>
      </c>
      <c r="B378" s="1">
        <v>43.462666226539497</v>
      </c>
      <c r="C378">
        <v>377</v>
      </c>
    </row>
    <row r="379" spans="1:3" x14ac:dyDescent="0.25">
      <c r="A379" t="s">
        <v>380</v>
      </c>
      <c r="B379" s="1">
        <v>45.700483139420101</v>
      </c>
      <c r="C379">
        <v>378</v>
      </c>
    </row>
    <row r="380" spans="1:3" x14ac:dyDescent="0.25">
      <c r="A380" t="s">
        <v>381</v>
      </c>
      <c r="B380" s="1">
        <v>45.247533829149802</v>
      </c>
      <c r="C380">
        <v>379</v>
      </c>
    </row>
    <row r="381" spans="1:3" x14ac:dyDescent="0.25">
      <c r="A381" t="s">
        <v>382</v>
      </c>
      <c r="B381" s="1">
        <v>46.377180986513103</v>
      </c>
      <c r="C381">
        <v>380</v>
      </c>
    </row>
    <row r="382" spans="1:3" x14ac:dyDescent="0.25">
      <c r="A382" t="s">
        <v>383</v>
      </c>
      <c r="B382" s="1">
        <v>53.202742485280297</v>
      </c>
      <c r="C382">
        <v>381</v>
      </c>
    </row>
    <row r="383" spans="1:3" x14ac:dyDescent="0.25">
      <c r="A383" t="s">
        <v>384</v>
      </c>
      <c r="B383" s="1">
        <v>57.646413429303799</v>
      </c>
      <c r="C383">
        <v>382</v>
      </c>
    </row>
    <row r="384" spans="1:3" x14ac:dyDescent="0.25">
      <c r="A384" t="s">
        <v>385</v>
      </c>
      <c r="B384" s="1">
        <v>62.285951981857501</v>
      </c>
      <c r="C384">
        <v>383</v>
      </c>
    </row>
    <row r="385" spans="1:3" x14ac:dyDescent="0.25">
      <c r="A385" t="s">
        <v>386</v>
      </c>
      <c r="B385" s="1">
        <v>70.059704575973399</v>
      </c>
      <c r="C385">
        <v>384</v>
      </c>
    </row>
    <row r="386" spans="1:3" x14ac:dyDescent="0.25">
      <c r="A386" t="s">
        <v>387</v>
      </c>
      <c r="B386" s="1">
        <v>80.363458455154102</v>
      </c>
      <c r="C386">
        <v>385</v>
      </c>
    </row>
    <row r="387" spans="1:3" x14ac:dyDescent="0.25">
      <c r="A387" t="s">
        <v>388</v>
      </c>
      <c r="B387" s="1">
        <v>81.318200599111506</v>
      </c>
      <c r="C387">
        <v>386</v>
      </c>
    </row>
    <row r="388" spans="1:3" x14ac:dyDescent="0.25">
      <c r="A388" t="s">
        <v>389</v>
      </c>
      <c r="B388" s="1">
        <v>71.814275384774206</v>
      </c>
      <c r="C388">
        <v>387</v>
      </c>
    </row>
    <row r="389" spans="1:3" x14ac:dyDescent="0.25">
      <c r="A389" t="s">
        <v>390</v>
      </c>
      <c r="B389" s="1">
        <v>71.638853283375894</v>
      </c>
      <c r="C389">
        <v>388</v>
      </c>
    </row>
    <row r="390" spans="1:3" x14ac:dyDescent="0.25">
      <c r="A390" t="s">
        <v>391</v>
      </c>
      <c r="B390" s="1">
        <v>73.950190983683797</v>
      </c>
      <c r="C390">
        <v>389</v>
      </c>
    </row>
    <row r="391" spans="1:3" x14ac:dyDescent="0.25">
      <c r="A391" t="s">
        <v>392</v>
      </c>
      <c r="B391" s="1">
        <v>69.187228850325297</v>
      </c>
      <c r="C391">
        <v>390</v>
      </c>
    </row>
    <row r="392" spans="1:3" x14ac:dyDescent="0.25">
      <c r="A392" t="s">
        <v>393</v>
      </c>
      <c r="B392" s="1">
        <v>68.251850891257007</v>
      </c>
      <c r="C392">
        <v>391</v>
      </c>
    </row>
    <row r="393" spans="1:3" x14ac:dyDescent="0.25">
      <c r="A393" t="s">
        <v>394</v>
      </c>
      <c r="B393" s="1">
        <v>65.288503253795994</v>
      </c>
      <c r="C393">
        <v>392</v>
      </c>
    </row>
    <row r="394" spans="1:3" x14ac:dyDescent="0.25">
      <c r="A394" t="s">
        <v>395</v>
      </c>
      <c r="B394" s="1">
        <v>64.630539200495704</v>
      </c>
      <c r="C394">
        <v>393</v>
      </c>
    </row>
    <row r="395" spans="1:3" x14ac:dyDescent="0.25">
      <c r="A395" t="s">
        <v>396</v>
      </c>
      <c r="B395" s="1">
        <v>66.511081769310394</v>
      </c>
      <c r="C395">
        <v>394</v>
      </c>
    </row>
    <row r="396" spans="1:3" x14ac:dyDescent="0.25">
      <c r="A396" t="s">
        <v>397</v>
      </c>
      <c r="B396" s="1">
        <v>63.158777502324</v>
      </c>
      <c r="C396">
        <v>395</v>
      </c>
    </row>
    <row r="397" spans="1:3" x14ac:dyDescent="0.25">
      <c r="A397" t="s">
        <v>398</v>
      </c>
      <c r="B397" s="1">
        <v>60.219976336028303</v>
      </c>
      <c r="C397">
        <v>396</v>
      </c>
    </row>
    <row r="398" spans="1:3" x14ac:dyDescent="0.25">
      <c r="A398" t="s">
        <v>399</v>
      </c>
      <c r="B398" s="1">
        <v>58.9595515420163</v>
      </c>
      <c r="C398">
        <v>397</v>
      </c>
    </row>
    <row r="399" spans="1:3" x14ac:dyDescent="0.25">
      <c r="A399" t="s">
        <v>400</v>
      </c>
      <c r="B399" s="1">
        <v>54.315509761388199</v>
      </c>
      <c r="C399">
        <v>398</v>
      </c>
    </row>
    <row r="400" spans="1:3" x14ac:dyDescent="0.25">
      <c r="A400" t="s">
        <v>401</v>
      </c>
      <c r="B400" s="1">
        <v>51.834869848156103</v>
      </c>
      <c r="C400">
        <v>399</v>
      </c>
    </row>
    <row r="401" spans="1:3" x14ac:dyDescent="0.25">
      <c r="A401" t="s">
        <v>402</v>
      </c>
      <c r="B401" s="1">
        <v>52.685133602839599</v>
      </c>
      <c r="C401">
        <v>400</v>
      </c>
    </row>
    <row r="402" spans="1:3" x14ac:dyDescent="0.25">
      <c r="A402" t="s">
        <v>403</v>
      </c>
      <c r="B402" s="1">
        <v>57.305573358311896</v>
      </c>
      <c r="C402">
        <v>401</v>
      </c>
    </row>
    <row r="403" spans="1:3" x14ac:dyDescent="0.25">
      <c r="A403" t="s">
        <v>404</v>
      </c>
      <c r="B403" s="1">
        <v>59.576528767689197</v>
      </c>
      <c r="C403">
        <v>402</v>
      </c>
    </row>
    <row r="404" spans="1:3" x14ac:dyDescent="0.25">
      <c r="A404" t="s">
        <v>405</v>
      </c>
      <c r="B404" s="1">
        <v>58.9472554937281</v>
      </c>
      <c r="C404">
        <v>403</v>
      </c>
    </row>
    <row r="405" spans="1:3" x14ac:dyDescent="0.25">
      <c r="A405" t="s">
        <v>406</v>
      </c>
      <c r="B405" s="1">
        <v>58.966661501910799</v>
      </c>
      <c r="C405">
        <v>404</v>
      </c>
    </row>
    <row r="406" spans="1:3" x14ac:dyDescent="0.25">
      <c r="A406" t="s">
        <v>407</v>
      </c>
      <c r="B406" s="1">
        <v>62.875443699467397</v>
      </c>
      <c r="C406">
        <v>405</v>
      </c>
    </row>
    <row r="407" spans="1:3" x14ac:dyDescent="0.25">
      <c r="A407" t="s">
        <v>408</v>
      </c>
      <c r="B407" s="1">
        <v>63.958773460341298</v>
      </c>
      <c r="C407">
        <v>406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C193-43E3-4E85-BF92-93448CD58CB1}">
  <dimension ref="A1:AE179"/>
  <sheetViews>
    <sheetView zoomScale="70" zoomScaleNormal="70" workbookViewId="0">
      <selection activeCell="O24" sqref="O24"/>
    </sheetView>
  </sheetViews>
  <sheetFormatPr baseColWidth="10" defaultColWidth="11.42578125" defaultRowHeight="15" x14ac:dyDescent="0.25"/>
  <cols>
    <col min="1" max="1" width="13.140625" bestFit="1" customWidth="1"/>
    <col min="2" max="3" width="13.140625" customWidth="1"/>
    <col min="4" max="4" width="16.42578125" bestFit="1" customWidth="1"/>
    <col min="7" max="7" width="23.7109375" customWidth="1"/>
    <col min="8" max="9" width="13" bestFit="1" customWidth="1"/>
    <col min="10" max="11" width="12.5703125" bestFit="1" customWidth="1"/>
    <col min="12" max="12" width="13" bestFit="1" customWidth="1"/>
    <col min="13" max="13" width="12.5703125" bestFit="1" customWidth="1"/>
    <col min="14" max="16" width="13" bestFit="1" customWidth="1"/>
    <col min="17" max="20" width="12.5703125" bestFit="1" customWidth="1"/>
    <col min="21" max="21" width="17.5703125" bestFit="1" customWidth="1"/>
    <col min="22" max="22" width="24.85546875" bestFit="1" customWidth="1"/>
    <col min="24" max="28" width="6" bestFit="1" customWidth="1"/>
    <col min="29" max="29" width="10.28515625" bestFit="1" customWidth="1"/>
    <col min="30" max="30" width="29.85546875" bestFit="1" customWidth="1"/>
    <col min="31" max="31" width="6" bestFit="1" customWidth="1"/>
  </cols>
  <sheetData>
    <row r="1" spans="1:31" x14ac:dyDescent="0.25">
      <c r="A1" t="s">
        <v>0</v>
      </c>
      <c r="B1" t="s">
        <v>409</v>
      </c>
      <c r="C1" t="s">
        <v>410</v>
      </c>
      <c r="D1" t="s">
        <v>1</v>
      </c>
      <c r="E1" t="s">
        <v>2</v>
      </c>
    </row>
    <row r="2" spans="1:31" x14ac:dyDescent="0.25">
      <c r="A2" t="s">
        <v>231</v>
      </c>
      <c r="B2" t="str">
        <f>LEFT(TRIM(dataset_2025_11_17T13_30_33_170025752Z_DEFAULT_INTEGRATION_IMF_RES_PCPS_9_0_0[[#This Row],[TIME_PERIOD]]),4)</f>
        <v>2011</v>
      </c>
      <c r="C2" t="str">
        <f>RIGHT(TRIM(dataset_2025_11_17T13_30_33_170025752Z_DEFAULT_INTEGRATION_IMF_RES_PCPS_9_0_0[[#This Row],[TIME_PERIOD]]),2)</f>
        <v>01</v>
      </c>
      <c r="D2">
        <v>63.875</v>
      </c>
      <c r="E2">
        <v>1</v>
      </c>
      <c r="G2" s="10" t="s">
        <v>411</v>
      </c>
      <c r="H2" s="10" t="s">
        <v>410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X2" s="10"/>
      <c r="Y2" s="10"/>
      <c r="Z2" s="10"/>
      <c r="AA2" s="10"/>
      <c r="AB2" s="10"/>
      <c r="AC2" s="10"/>
      <c r="AD2" s="10"/>
      <c r="AE2" s="10"/>
    </row>
    <row r="3" spans="1:31" x14ac:dyDescent="0.25">
      <c r="A3" t="s">
        <v>232</v>
      </c>
      <c r="B3" t="str">
        <f>LEFT(TRIM(dataset_2025_11_17T13_30_33_170025752Z_DEFAULT_INTEGRATION_IMF_RES_PCPS_9_0_0[[#This Row],[TIME_PERIOD]]),4)</f>
        <v>2011</v>
      </c>
      <c r="C3" t="str">
        <f>RIGHT(TRIM(dataset_2025_11_17T13_30_33_170025752Z_DEFAULT_INTEGRATION_IMF_RES_PCPS_9_0_0[[#This Row],[TIME_PERIOD]]),2)</f>
        <v>02</v>
      </c>
      <c r="D3">
        <v>65</v>
      </c>
      <c r="E3">
        <v>2</v>
      </c>
      <c r="G3" s="10" t="s">
        <v>409</v>
      </c>
      <c r="H3" s="10">
        <v>1</v>
      </c>
      <c r="I3" s="10">
        <v>2</v>
      </c>
      <c r="J3" s="10">
        <v>3</v>
      </c>
      <c r="K3" s="10">
        <v>4</v>
      </c>
      <c r="L3" s="10">
        <v>5</v>
      </c>
      <c r="M3" s="10">
        <v>6</v>
      </c>
      <c r="N3" s="10">
        <v>7</v>
      </c>
      <c r="O3" s="10">
        <v>8</v>
      </c>
      <c r="P3" s="10">
        <v>9</v>
      </c>
      <c r="Q3" s="10">
        <v>10</v>
      </c>
      <c r="R3" s="10">
        <v>11</v>
      </c>
      <c r="S3" s="10">
        <v>12</v>
      </c>
      <c r="T3" s="10" t="s">
        <v>412</v>
      </c>
      <c r="U3" s="10" t="s">
        <v>413</v>
      </c>
      <c r="V3" s="10" t="s">
        <v>414</v>
      </c>
      <c r="X3" s="10" t="s">
        <v>415</v>
      </c>
      <c r="Y3" s="10" t="s">
        <v>416</v>
      </c>
      <c r="Z3" s="10" t="s">
        <v>417</v>
      </c>
      <c r="AA3" s="10" t="s">
        <v>418</v>
      </c>
      <c r="AB3" s="10" t="s">
        <v>419</v>
      </c>
      <c r="AC3" s="10" t="s">
        <v>420</v>
      </c>
      <c r="AD3" s="10" t="s">
        <v>421</v>
      </c>
      <c r="AE3" s="10" t="s">
        <v>422</v>
      </c>
    </row>
    <row r="4" spans="1:31" x14ac:dyDescent="0.25">
      <c r="A4" t="s">
        <v>233</v>
      </c>
      <c r="B4" t="str">
        <f>LEFT(TRIM(dataset_2025_11_17T13_30_33_170025752Z_DEFAULT_INTEGRATION_IMF_RES_PCPS_9_0_0[[#This Row],[TIME_PERIOD]]),4)</f>
        <v>2011</v>
      </c>
      <c r="C4" t="str">
        <f>RIGHT(TRIM(dataset_2025_11_17T13_30_33_170025752Z_DEFAULT_INTEGRATION_IMF_RES_PCPS_9_0_0[[#This Row],[TIME_PERIOD]]),2)</f>
        <v>03</v>
      </c>
      <c r="D4">
        <v>63.5</v>
      </c>
      <c r="E4">
        <v>3</v>
      </c>
      <c r="G4">
        <v>2011</v>
      </c>
      <c r="H4" s="52">
        <v>63.88</v>
      </c>
      <c r="I4" s="52">
        <v>65</v>
      </c>
      <c r="J4" s="52">
        <v>63.5</v>
      </c>
      <c r="K4" s="52">
        <v>57.82</v>
      </c>
      <c r="L4" s="52">
        <v>56.06</v>
      </c>
      <c r="M4" s="52">
        <v>55.4</v>
      </c>
      <c r="N4" s="52">
        <v>52.79</v>
      </c>
      <c r="O4" s="52">
        <v>50.68</v>
      </c>
      <c r="P4" s="52">
        <v>51.98</v>
      </c>
      <c r="Q4" s="52">
        <v>52.34</v>
      </c>
      <c r="R4" s="52">
        <v>53.19</v>
      </c>
      <c r="S4" s="52">
        <v>52.18</v>
      </c>
      <c r="T4" s="1">
        <v>674.83</v>
      </c>
      <c r="U4" s="1">
        <v>56.24</v>
      </c>
      <c r="V4" s="1"/>
      <c r="W4" s="1"/>
      <c r="X4" s="1">
        <f t="shared" ref="X4:X18" si="0">MIN(H4:S4)</f>
        <v>50.68</v>
      </c>
      <c r="Y4" s="1">
        <f t="shared" ref="Y4:Y18" si="1">QUARTILE(H4:S4,1)</f>
        <v>52.300000000000004</v>
      </c>
      <c r="Z4" s="1">
        <f t="shared" ref="Z4:Z18" si="2">QUARTILE(I4:T4,2)</f>
        <v>54.295000000000002</v>
      </c>
      <c r="AA4" s="1">
        <f t="shared" ref="AA4:AA18" si="3">QUARTILE(J4:U4,3)</f>
        <v>56.635000000000005</v>
      </c>
      <c r="AB4" s="1">
        <f t="shared" ref="AB4:AB18" si="4">MAX(H4:S4)</f>
        <v>65</v>
      </c>
      <c r="AC4" s="1">
        <f t="shared" ref="AC4:AC18" si="5">_xlfn.STDEV.P(H4:S4)</f>
        <v>4.9413957205092043</v>
      </c>
      <c r="AD4" s="1">
        <f t="shared" ref="AD4:AD18" si="6">(AA4-Y4)*100/Z4</f>
        <v>7.9841606041071937</v>
      </c>
      <c r="AE4" s="1">
        <f t="shared" ref="AE4:AE18" si="7">AC4*100/U4</f>
        <v>8.7862655058840762</v>
      </c>
    </row>
    <row r="5" spans="1:31" x14ac:dyDescent="0.25">
      <c r="A5" t="s">
        <v>234</v>
      </c>
      <c r="B5" t="str">
        <f>LEFT(TRIM(dataset_2025_11_17T13_30_33_170025752Z_DEFAULT_INTEGRATION_IMF_RES_PCPS_9_0_0[[#This Row],[TIME_PERIOD]]),4)</f>
        <v>2011</v>
      </c>
      <c r="C5" t="str">
        <f>RIGHT(TRIM(dataset_2025_11_17T13_30_33_170025752Z_DEFAULT_INTEGRATION_IMF_RES_PCPS_9_0_0[[#This Row],[TIME_PERIOD]]),2)</f>
        <v>04</v>
      </c>
      <c r="D5">
        <v>57.821428571428598</v>
      </c>
      <c r="E5">
        <v>4</v>
      </c>
      <c r="G5">
        <v>2012</v>
      </c>
      <c r="H5" s="52">
        <v>52.31</v>
      </c>
      <c r="I5" s="52">
        <v>52.06</v>
      </c>
      <c r="J5" s="52">
        <v>51.29</v>
      </c>
      <c r="K5" s="52">
        <v>51.3</v>
      </c>
      <c r="L5" s="52">
        <v>51.89</v>
      </c>
      <c r="M5" s="52">
        <v>50.83</v>
      </c>
      <c r="N5" s="52">
        <v>50.36</v>
      </c>
      <c r="O5" s="52">
        <v>49.25</v>
      </c>
      <c r="P5" s="52">
        <v>47.73</v>
      </c>
      <c r="Q5" s="52">
        <v>44.61</v>
      </c>
      <c r="R5" s="52">
        <v>41.5</v>
      </c>
      <c r="S5" s="52">
        <v>43.67</v>
      </c>
      <c r="T5" s="1">
        <v>586.79</v>
      </c>
      <c r="U5" s="1">
        <v>48.9</v>
      </c>
      <c r="V5" s="1">
        <f t="shared" ref="V5:V18" si="8">(U5-U4)*100/U4</f>
        <v>-13.051209103840689</v>
      </c>
      <c r="W5" s="1"/>
      <c r="X5" s="1">
        <f t="shared" si="0"/>
        <v>41.5</v>
      </c>
      <c r="Y5" s="1">
        <f t="shared" si="1"/>
        <v>46.949999999999996</v>
      </c>
      <c r="Z5" s="1">
        <f t="shared" si="2"/>
        <v>50.594999999999999</v>
      </c>
      <c r="AA5" s="1">
        <f t="shared" si="3"/>
        <v>51.292499999999997</v>
      </c>
      <c r="AB5" s="1">
        <f t="shared" si="4"/>
        <v>52.31</v>
      </c>
      <c r="AC5" s="1">
        <f t="shared" si="5"/>
        <v>3.5342467372836319</v>
      </c>
      <c r="AD5" s="1">
        <f t="shared" si="6"/>
        <v>8.5828639193596228</v>
      </c>
      <c r="AE5" s="1">
        <f t="shared" si="7"/>
        <v>7.227498440252826</v>
      </c>
    </row>
    <row r="6" spans="1:31" x14ac:dyDescent="0.25">
      <c r="A6" t="s">
        <v>235</v>
      </c>
      <c r="B6" t="str">
        <f>LEFT(TRIM(dataset_2025_11_17T13_30_33_170025752Z_DEFAULT_INTEGRATION_IMF_RES_PCPS_9_0_0[[#This Row],[TIME_PERIOD]]),4)</f>
        <v>2011</v>
      </c>
      <c r="C6" t="str">
        <f>RIGHT(TRIM(dataset_2025_11_17T13_30_33_170025752Z_DEFAULT_INTEGRATION_IMF_RES_PCPS_9_0_0[[#This Row],[TIME_PERIOD]]),2)</f>
        <v>05</v>
      </c>
      <c r="D6">
        <v>56.0625</v>
      </c>
      <c r="E6">
        <v>5</v>
      </c>
      <c r="G6">
        <v>2013</v>
      </c>
      <c r="H6" s="52">
        <v>42.75</v>
      </c>
      <c r="I6" s="52">
        <v>43.41</v>
      </c>
      <c r="J6" s="52">
        <v>42.28</v>
      </c>
      <c r="K6" s="52">
        <v>41.41</v>
      </c>
      <c r="L6" s="52">
        <v>40.61</v>
      </c>
      <c r="M6" s="52">
        <v>39.94</v>
      </c>
      <c r="N6" s="52">
        <v>38.020000000000003</v>
      </c>
      <c r="O6" s="52">
        <v>34.99</v>
      </c>
      <c r="P6" s="52">
        <v>34.450000000000003</v>
      </c>
      <c r="Q6" s="52">
        <v>34.85</v>
      </c>
      <c r="R6" s="52">
        <v>35.590000000000003</v>
      </c>
      <c r="S6" s="52">
        <v>34.590000000000003</v>
      </c>
      <c r="T6" s="1">
        <v>462.9</v>
      </c>
      <c r="U6" s="1">
        <v>38.57</v>
      </c>
      <c r="V6" s="1">
        <f t="shared" si="8"/>
        <v>-21.124744376278116</v>
      </c>
      <c r="W6" s="1"/>
      <c r="X6" s="1">
        <f t="shared" si="0"/>
        <v>34.450000000000003</v>
      </c>
      <c r="Y6" s="1">
        <f t="shared" si="1"/>
        <v>34.954999999999998</v>
      </c>
      <c r="Z6" s="1">
        <f t="shared" si="2"/>
        <v>38.980000000000004</v>
      </c>
      <c r="AA6" s="1">
        <f t="shared" si="3"/>
        <v>40.81</v>
      </c>
      <c r="AB6" s="1">
        <f t="shared" si="4"/>
        <v>43.41</v>
      </c>
      <c r="AC6" s="1">
        <f t="shared" si="5"/>
        <v>3.3840125549740812</v>
      </c>
      <c r="AD6" s="1">
        <f t="shared" si="6"/>
        <v>15.020523345305294</v>
      </c>
      <c r="AE6" s="1">
        <f t="shared" si="7"/>
        <v>8.7736908347785345</v>
      </c>
    </row>
    <row r="7" spans="1:31" x14ac:dyDescent="0.25">
      <c r="A7" t="s">
        <v>236</v>
      </c>
      <c r="B7" t="str">
        <f>LEFT(TRIM(dataset_2025_11_17T13_30_33_170025752Z_DEFAULT_INTEGRATION_IMF_RES_PCPS_9_0_0[[#This Row],[TIME_PERIOD]]),4)</f>
        <v>2011</v>
      </c>
      <c r="C7" t="str">
        <f>RIGHT(TRIM(dataset_2025_11_17T13_30_33_170025752Z_DEFAULT_INTEGRATION_IMF_RES_PCPS_9_0_0[[#This Row],[TIME_PERIOD]]),2)</f>
        <v>06</v>
      </c>
      <c r="D7">
        <v>55.4</v>
      </c>
      <c r="E7">
        <v>6</v>
      </c>
      <c r="G7">
        <v>2014</v>
      </c>
      <c r="H7" s="52">
        <v>35.21</v>
      </c>
      <c r="I7" s="52">
        <v>35.549999999999997</v>
      </c>
      <c r="J7" s="52">
        <v>34.700000000000003</v>
      </c>
      <c r="K7" s="52">
        <v>32.74</v>
      </c>
      <c r="L7" s="52">
        <v>28.54</v>
      </c>
      <c r="M7" s="52">
        <v>28.23</v>
      </c>
      <c r="N7" s="52">
        <v>28.4</v>
      </c>
      <c r="O7" s="52">
        <v>30.83</v>
      </c>
      <c r="P7" s="52">
        <v>34.369999999999997</v>
      </c>
      <c r="Q7" s="52">
        <v>35.75</v>
      </c>
      <c r="R7" s="52">
        <v>40.6</v>
      </c>
      <c r="S7" s="52">
        <v>36.950000000000003</v>
      </c>
      <c r="T7" s="1">
        <v>401.87</v>
      </c>
      <c r="U7" s="1">
        <v>33.49</v>
      </c>
      <c r="V7" s="1">
        <f t="shared" si="8"/>
        <v>-13.170858179932585</v>
      </c>
      <c r="W7" s="1"/>
      <c r="X7" s="1">
        <f t="shared" si="0"/>
        <v>28.23</v>
      </c>
      <c r="Y7" s="1">
        <f t="shared" si="1"/>
        <v>30.2575</v>
      </c>
      <c r="Z7" s="1">
        <f t="shared" si="2"/>
        <v>34.534999999999997</v>
      </c>
      <c r="AA7" s="1">
        <f t="shared" si="3"/>
        <v>36.049999999999997</v>
      </c>
      <c r="AB7" s="1">
        <f t="shared" si="4"/>
        <v>40.6</v>
      </c>
      <c r="AC7" s="1">
        <f t="shared" si="5"/>
        <v>3.6831609122539777</v>
      </c>
      <c r="AD7" s="1">
        <f t="shared" si="6"/>
        <v>16.772839148689727</v>
      </c>
      <c r="AE7" s="1">
        <f t="shared" si="7"/>
        <v>10.997793109148933</v>
      </c>
    </row>
    <row r="8" spans="1:31" x14ac:dyDescent="0.25">
      <c r="A8" t="s">
        <v>237</v>
      </c>
      <c r="B8" t="str">
        <f>LEFT(TRIM(dataset_2025_11_17T13_30_33_170025752Z_DEFAULT_INTEGRATION_IMF_RES_PCPS_9_0_0[[#This Row],[TIME_PERIOD]]),4)</f>
        <v>2011</v>
      </c>
      <c r="C8" t="str">
        <f>RIGHT(TRIM(dataset_2025_11_17T13_30_33_170025752Z_DEFAULT_INTEGRATION_IMF_RES_PCPS_9_0_0[[#This Row],[TIME_PERIOD]]),2)</f>
        <v>07</v>
      </c>
      <c r="D8">
        <v>52.788888888888899</v>
      </c>
      <c r="E8">
        <v>7</v>
      </c>
      <c r="G8">
        <v>2015</v>
      </c>
      <c r="H8" s="52">
        <v>35.9</v>
      </c>
      <c r="I8" s="52">
        <v>38.19</v>
      </c>
      <c r="J8" s="52">
        <v>39.32</v>
      </c>
      <c r="K8" s="52">
        <v>38.840000000000003</v>
      </c>
      <c r="L8" s="52">
        <v>35.69</v>
      </c>
      <c r="M8" s="52">
        <v>36.049999999999997</v>
      </c>
      <c r="N8" s="52">
        <v>36.28</v>
      </c>
      <c r="O8" s="52">
        <v>36.1</v>
      </c>
      <c r="P8" s="52">
        <v>37.06</v>
      </c>
      <c r="Q8" s="52">
        <v>37.24</v>
      </c>
      <c r="R8" s="52">
        <v>35.96</v>
      </c>
      <c r="S8" s="52">
        <v>35.159999999999997</v>
      </c>
      <c r="T8" s="1">
        <v>441.78</v>
      </c>
      <c r="U8" s="1">
        <v>36.82</v>
      </c>
      <c r="V8" s="1">
        <f t="shared" si="8"/>
        <v>9.9432666467602218</v>
      </c>
      <c r="W8" s="1"/>
      <c r="X8" s="1">
        <f t="shared" si="0"/>
        <v>35.159999999999997</v>
      </c>
      <c r="Y8" s="1">
        <f t="shared" si="1"/>
        <v>35.945</v>
      </c>
      <c r="Z8" s="1">
        <f t="shared" si="2"/>
        <v>36.67</v>
      </c>
      <c r="AA8" s="1">
        <f t="shared" si="3"/>
        <v>37.64</v>
      </c>
      <c r="AB8" s="1">
        <f t="shared" si="4"/>
        <v>39.32</v>
      </c>
      <c r="AC8" s="1">
        <f t="shared" si="5"/>
        <v>1.273528290049168</v>
      </c>
      <c r="AD8" s="1">
        <f t="shared" si="6"/>
        <v>4.622307062994274</v>
      </c>
      <c r="AE8" s="1">
        <f t="shared" si="7"/>
        <v>3.4587949213719935</v>
      </c>
    </row>
    <row r="9" spans="1:31" x14ac:dyDescent="0.25">
      <c r="A9" t="s">
        <v>238</v>
      </c>
      <c r="B9" t="str">
        <f>LEFT(TRIM(dataset_2025_11_17T13_30_33_170025752Z_DEFAULT_INTEGRATION_IMF_RES_PCPS_9_0_0[[#This Row],[TIME_PERIOD]]),4)</f>
        <v>2011</v>
      </c>
      <c r="C9" t="str">
        <f>RIGHT(TRIM(dataset_2025_11_17T13_30_33_170025752Z_DEFAULT_INTEGRATION_IMF_RES_PCPS_9_0_0[[#This Row],[TIME_PERIOD]]),2)</f>
        <v>08</v>
      </c>
      <c r="D9">
        <v>50.683333333333302</v>
      </c>
      <c r="E9">
        <v>8</v>
      </c>
      <c r="G9">
        <v>2016</v>
      </c>
      <c r="H9" s="52">
        <v>34.69</v>
      </c>
      <c r="I9" s="52">
        <v>34.01</v>
      </c>
      <c r="J9" s="52">
        <v>30.11</v>
      </c>
      <c r="K9" s="52">
        <v>27.82</v>
      </c>
      <c r="L9" s="52">
        <v>27.95</v>
      </c>
      <c r="M9" s="52">
        <v>27.35</v>
      </c>
      <c r="N9" s="52">
        <v>25.85</v>
      </c>
      <c r="O9" s="52">
        <v>25.9</v>
      </c>
      <c r="P9" s="52">
        <v>24.88</v>
      </c>
      <c r="Q9" s="52">
        <v>21.49</v>
      </c>
      <c r="R9" s="52">
        <v>18.57</v>
      </c>
      <c r="S9" s="52">
        <v>19.22</v>
      </c>
      <c r="T9" s="1">
        <v>317.82</v>
      </c>
      <c r="U9" s="1">
        <v>26.49</v>
      </c>
      <c r="V9" s="1">
        <f t="shared" si="8"/>
        <v>-28.055404671374259</v>
      </c>
      <c r="W9" s="1"/>
      <c r="X9" s="1">
        <f t="shared" si="0"/>
        <v>18.57</v>
      </c>
      <c r="Y9" s="1">
        <f t="shared" si="1"/>
        <v>24.032499999999999</v>
      </c>
      <c r="Z9" s="1">
        <f t="shared" si="2"/>
        <v>26.625</v>
      </c>
      <c r="AA9" s="1">
        <f t="shared" si="3"/>
        <v>27.852499999999999</v>
      </c>
      <c r="AB9" s="1">
        <f t="shared" si="4"/>
        <v>34.69</v>
      </c>
      <c r="AC9" s="1">
        <f t="shared" si="5"/>
        <v>4.8773615362771112</v>
      </c>
      <c r="AD9" s="1">
        <f t="shared" si="6"/>
        <v>14.347417840375586</v>
      </c>
      <c r="AE9" s="1">
        <f t="shared" si="7"/>
        <v>18.412085829660672</v>
      </c>
    </row>
    <row r="10" spans="1:31" x14ac:dyDescent="0.25">
      <c r="A10" t="s">
        <v>239</v>
      </c>
      <c r="B10" t="str">
        <f>LEFT(TRIM(dataset_2025_11_17T13_30_33_170025752Z_DEFAULT_INTEGRATION_IMF_RES_PCPS_9_0_0[[#This Row],[TIME_PERIOD]]),4)</f>
        <v>2011</v>
      </c>
      <c r="C10" t="str">
        <f>RIGHT(TRIM(dataset_2025_11_17T13_30_33_170025752Z_DEFAULT_INTEGRATION_IMF_RES_PCPS_9_0_0[[#This Row],[TIME_PERIOD]]),2)</f>
        <v>09</v>
      </c>
      <c r="D10">
        <v>51.983333333333299</v>
      </c>
      <c r="E10">
        <v>9</v>
      </c>
      <c r="G10">
        <v>2017</v>
      </c>
      <c r="H10" s="52">
        <v>22.17</v>
      </c>
      <c r="I10" s="52">
        <v>25.15</v>
      </c>
      <c r="J10" s="52">
        <v>24.64</v>
      </c>
      <c r="K10" s="52">
        <v>23.25</v>
      </c>
      <c r="L10" s="52">
        <v>21.64</v>
      </c>
      <c r="M10" s="52">
        <v>19.75</v>
      </c>
      <c r="N10" s="52">
        <v>20.36</v>
      </c>
      <c r="O10" s="52">
        <v>20.41</v>
      </c>
      <c r="P10" s="52">
        <v>20.43</v>
      </c>
      <c r="Q10" s="52">
        <v>20.23</v>
      </c>
      <c r="R10" s="52">
        <v>22.35</v>
      </c>
      <c r="S10" s="52">
        <v>24.69</v>
      </c>
      <c r="T10" s="1">
        <v>265.07</v>
      </c>
      <c r="U10" s="53">
        <v>22.09</v>
      </c>
      <c r="V10" s="1">
        <f t="shared" si="8"/>
        <v>-16.61004152510381</v>
      </c>
      <c r="W10" s="1"/>
      <c r="X10" s="1">
        <f t="shared" si="0"/>
        <v>19.75</v>
      </c>
      <c r="Y10" s="1">
        <f t="shared" si="1"/>
        <v>20.397500000000001</v>
      </c>
      <c r="Z10" s="1">
        <f t="shared" si="2"/>
        <v>21.995000000000001</v>
      </c>
      <c r="AA10" s="1">
        <f t="shared" si="3"/>
        <v>23.5975</v>
      </c>
      <c r="AB10" s="1">
        <f t="shared" si="4"/>
        <v>25.15</v>
      </c>
      <c r="AC10" s="1">
        <f t="shared" si="5"/>
        <v>1.8653483067662071</v>
      </c>
      <c r="AD10" s="1">
        <f t="shared" si="6"/>
        <v>14.548761082064102</v>
      </c>
      <c r="AE10" s="1">
        <f t="shared" si="7"/>
        <v>8.4443110310828757</v>
      </c>
    </row>
    <row r="11" spans="1:31" x14ac:dyDescent="0.25">
      <c r="A11" t="s">
        <v>240</v>
      </c>
      <c r="B11" t="str">
        <f>LEFT(TRIM(dataset_2025_11_17T13_30_33_170025752Z_DEFAULT_INTEGRATION_IMF_RES_PCPS_9_0_0[[#This Row],[TIME_PERIOD]]),4)</f>
        <v>2011</v>
      </c>
      <c r="C11" t="str">
        <f>RIGHT(TRIM(dataset_2025_11_17T13_30_33_170025752Z_DEFAULT_INTEGRATION_IMF_RES_PCPS_9_0_0[[#This Row],[TIME_PERIOD]]),2)</f>
        <v>10</v>
      </c>
      <c r="D11">
        <v>52.337499999999999</v>
      </c>
      <c r="E11">
        <v>10</v>
      </c>
      <c r="G11">
        <v>2018</v>
      </c>
      <c r="H11" s="52">
        <v>23.37</v>
      </c>
      <c r="I11" s="52">
        <v>21.76</v>
      </c>
      <c r="J11" s="52">
        <v>21.73</v>
      </c>
      <c r="K11" s="52">
        <v>20.85</v>
      </c>
      <c r="L11" s="52">
        <v>21.98</v>
      </c>
      <c r="M11" s="52">
        <v>23.07</v>
      </c>
      <c r="N11" s="52">
        <v>23.42</v>
      </c>
      <c r="O11" s="52">
        <v>26.05</v>
      </c>
      <c r="P11" s="52">
        <v>27.11</v>
      </c>
      <c r="Q11" s="52">
        <v>27.51</v>
      </c>
      <c r="R11" s="52">
        <v>28.93</v>
      </c>
      <c r="S11" s="52">
        <v>28.76</v>
      </c>
      <c r="T11" s="1">
        <v>294.52999999999997</v>
      </c>
      <c r="U11" s="1">
        <v>24.54</v>
      </c>
      <c r="V11" s="1">
        <f t="shared" si="8"/>
        <v>11.090991398822995</v>
      </c>
      <c r="W11" s="1"/>
      <c r="X11" s="1">
        <f t="shared" si="0"/>
        <v>20.85</v>
      </c>
      <c r="Y11" s="1">
        <f t="shared" si="1"/>
        <v>21.925000000000001</v>
      </c>
      <c r="Z11" s="1">
        <f t="shared" si="2"/>
        <v>24.734999999999999</v>
      </c>
      <c r="AA11" s="1">
        <f t="shared" si="3"/>
        <v>27.822500000000002</v>
      </c>
      <c r="AB11" s="1">
        <f t="shared" si="4"/>
        <v>28.93</v>
      </c>
      <c r="AC11" s="1">
        <f t="shared" si="5"/>
        <v>2.8190497808067776</v>
      </c>
      <c r="AD11" s="1">
        <f t="shared" si="6"/>
        <v>23.842732969476454</v>
      </c>
      <c r="AE11" s="1">
        <f t="shared" si="7"/>
        <v>11.487570418935524</v>
      </c>
    </row>
    <row r="12" spans="1:31" x14ac:dyDescent="0.25">
      <c r="A12" t="s">
        <v>241</v>
      </c>
      <c r="B12" t="str">
        <f>LEFT(TRIM(dataset_2025_11_17T13_30_33_170025752Z_DEFAULT_INTEGRATION_IMF_RES_PCPS_9_0_0[[#This Row],[TIME_PERIOD]]),4)</f>
        <v>2011</v>
      </c>
      <c r="C12" t="str">
        <f>RIGHT(TRIM(dataset_2025_11_17T13_30_33_170025752Z_DEFAULT_INTEGRATION_IMF_RES_PCPS_9_0_0[[#This Row],[TIME_PERIOD]]),2)</f>
        <v>11</v>
      </c>
      <c r="D12">
        <v>53.1944444444444</v>
      </c>
      <c r="E12">
        <v>11</v>
      </c>
      <c r="G12">
        <v>2019</v>
      </c>
      <c r="H12" s="52">
        <v>28.71</v>
      </c>
      <c r="I12" s="52">
        <v>28.65</v>
      </c>
      <c r="J12" s="52">
        <v>27.2</v>
      </c>
      <c r="K12" s="52">
        <v>25.7</v>
      </c>
      <c r="L12" s="52">
        <v>24.68</v>
      </c>
      <c r="M12" s="52">
        <v>24.48</v>
      </c>
      <c r="N12" s="52">
        <v>25.23</v>
      </c>
      <c r="O12" s="52">
        <v>25.28</v>
      </c>
      <c r="P12" s="52">
        <v>25.41</v>
      </c>
      <c r="Q12" s="52">
        <v>24.92</v>
      </c>
      <c r="R12" s="52">
        <v>24.99</v>
      </c>
      <c r="S12" s="52">
        <v>25.63</v>
      </c>
      <c r="T12" s="1">
        <v>310.88</v>
      </c>
      <c r="U12" s="1">
        <v>25.91</v>
      </c>
      <c r="V12" s="1">
        <f t="shared" si="8"/>
        <v>5.5827220863895732</v>
      </c>
      <c r="W12" s="1"/>
      <c r="X12" s="1">
        <f t="shared" si="0"/>
        <v>24.48</v>
      </c>
      <c r="Y12" s="1">
        <f t="shared" si="1"/>
        <v>24.9725</v>
      </c>
      <c r="Z12" s="1">
        <f t="shared" si="2"/>
        <v>25.344999999999999</v>
      </c>
      <c r="AA12" s="1">
        <f t="shared" si="3"/>
        <v>25.752499999999998</v>
      </c>
      <c r="AB12" s="1">
        <f t="shared" si="4"/>
        <v>28.71</v>
      </c>
      <c r="AC12" s="1">
        <f t="shared" si="5"/>
        <v>1.4032007063218794</v>
      </c>
      <c r="AD12" s="1">
        <f t="shared" si="6"/>
        <v>3.0775300848293456</v>
      </c>
      <c r="AE12" s="1">
        <f t="shared" si="7"/>
        <v>5.4156723516861422</v>
      </c>
    </row>
    <row r="13" spans="1:31" x14ac:dyDescent="0.25">
      <c r="A13" t="s">
        <v>242</v>
      </c>
      <c r="B13" t="str">
        <f>LEFT(TRIM(dataset_2025_11_17T13_30_33_170025752Z_DEFAULT_INTEGRATION_IMF_RES_PCPS_9_0_0[[#This Row],[TIME_PERIOD]]),4)</f>
        <v>2011</v>
      </c>
      <c r="C13" t="str">
        <f>RIGHT(TRIM(dataset_2025_11_17T13_30_33_170025752Z_DEFAULT_INTEGRATION_IMF_RES_PCPS_9_0_0[[#This Row],[TIME_PERIOD]]),2)</f>
        <v>12</v>
      </c>
      <c r="D13">
        <v>52.178571428571402</v>
      </c>
      <c r="E13">
        <v>12</v>
      </c>
      <c r="G13">
        <v>2020</v>
      </c>
      <c r="H13" s="52">
        <v>24.64</v>
      </c>
      <c r="I13" s="52">
        <v>24.69</v>
      </c>
      <c r="J13" s="52">
        <v>24.66</v>
      </c>
      <c r="K13" s="52">
        <v>29.96</v>
      </c>
      <c r="L13" s="52">
        <v>33.51</v>
      </c>
      <c r="M13" s="52">
        <v>33.090000000000003</v>
      </c>
      <c r="N13" s="52">
        <v>32.36</v>
      </c>
      <c r="O13" s="52">
        <v>31.38</v>
      </c>
      <c r="P13" s="52">
        <v>29.98</v>
      </c>
      <c r="Q13" s="52">
        <v>29.64</v>
      </c>
      <c r="R13" s="52">
        <v>29.49</v>
      </c>
      <c r="S13" s="52">
        <v>29.77</v>
      </c>
      <c r="T13" s="1">
        <v>353.17</v>
      </c>
      <c r="U13" s="1">
        <v>29.43</v>
      </c>
      <c r="V13" s="1">
        <f t="shared" si="8"/>
        <v>13.585488228483209</v>
      </c>
      <c r="W13" s="1"/>
      <c r="X13" s="1">
        <f t="shared" si="0"/>
        <v>24.64</v>
      </c>
      <c r="Y13" s="1">
        <f t="shared" si="1"/>
        <v>28.29</v>
      </c>
      <c r="Z13" s="1">
        <f t="shared" si="2"/>
        <v>29.97</v>
      </c>
      <c r="AA13" s="1">
        <f t="shared" si="3"/>
        <v>32.542500000000004</v>
      </c>
      <c r="AB13" s="1">
        <f t="shared" si="4"/>
        <v>33.51</v>
      </c>
      <c r="AC13" s="1">
        <f t="shared" si="5"/>
        <v>3.0460451362746492</v>
      </c>
      <c r="AD13" s="1">
        <f t="shared" si="6"/>
        <v>14.189189189189205</v>
      </c>
      <c r="AE13" s="1">
        <f t="shared" si="7"/>
        <v>10.350136378778965</v>
      </c>
    </row>
    <row r="14" spans="1:31" x14ac:dyDescent="0.25">
      <c r="A14" t="s">
        <v>243</v>
      </c>
      <c r="B14" t="str">
        <f>LEFT(TRIM(dataset_2025_11_17T13_30_33_170025752Z_DEFAULT_INTEGRATION_IMF_RES_PCPS_9_0_0[[#This Row],[TIME_PERIOD]]),4)</f>
        <v>2012</v>
      </c>
      <c r="C14" t="str">
        <f>RIGHT(TRIM(dataset_2025_11_17T13_30_33_170025752Z_DEFAULT_INTEGRATION_IMF_RES_PCPS_9_0_0[[#This Row],[TIME_PERIOD]]),2)</f>
        <v>01</v>
      </c>
      <c r="D14">
        <v>52.3125</v>
      </c>
      <c r="E14">
        <v>13</v>
      </c>
      <c r="G14">
        <v>2021</v>
      </c>
      <c r="H14" s="52">
        <v>29.86</v>
      </c>
      <c r="I14" s="52">
        <v>28.66</v>
      </c>
      <c r="J14" s="52">
        <v>28.33</v>
      </c>
      <c r="K14" s="52">
        <v>29.75</v>
      </c>
      <c r="L14" s="52">
        <v>30.26</v>
      </c>
      <c r="M14" s="52">
        <v>32.14</v>
      </c>
      <c r="N14" s="52">
        <v>32.340000000000003</v>
      </c>
      <c r="O14" s="52">
        <v>32.15</v>
      </c>
      <c r="P14" s="52">
        <v>45.08</v>
      </c>
      <c r="Q14" s="52">
        <v>38.479999999999997</v>
      </c>
      <c r="R14" s="52">
        <v>31.1</v>
      </c>
      <c r="S14" s="52">
        <v>36.130000000000003</v>
      </c>
      <c r="T14" s="1">
        <v>394.28</v>
      </c>
      <c r="U14" s="1">
        <v>32.86</v>
      </c>
      <c r="V14" s="1">
        <f t="shared" si="8"/>
        <v>11.654774040095141</v>
      </c>
      <c r="W14" s="1"/>
      <c r="X14" s="1">
        <f t="shared" si="0"/>
        <v>28.33</v>
      </c>
      <c r="Y14" s="1">
        <f t="shared" si="1"/>
        <v>29.8325</v>
      </c>
      <c r="Z14" s="1">
        <f t="shared" si="2"/>
        <v>32.144999999999996</v>
      </c>
      <c r="AA14" s="1">
        <f t="shared" si="3"/>
        <v>36.717500000000001</v>
      </c>
      <c r="AB14" s="1">
        <f t="shared" si="4"/>
        <v>45.08</v>
      </c>
      <c r="AC14" s="1">
        <f t="shared" si="5"/>
        <v>4.6510667832468151</v>
      </c>
      <c r="AD14" s="1">
        <f t="shared" si="6"/>
        <v>21.41857209519366</v>
      </c>
      <c r="AE14" s="1">
        <f t="shared" si="7"/>
        <v>14.154189845547217</v>
      </c>
    </row>
    <row r="15" spans="1:31" x14ac:dyDescent="0.25">
      <c r="A15" t="s">
        <v>244</v>
      </c>
      <c r="B15" t="str">
        <f>LEFT(TRIM(dataset_2025_11_17T13_30_33_170025752Z_DEFAULT_INTEGRATION_IMF_RES_PCPS_9_0_0[[#This Row],[TIME_PERIOD]]),4)</f>
        <v>2012</v>
      </c>
      <c r="C15" t="str">
        <f>RIGHT(TRIM(dataset_2025_11_17T13_30_33_170025752Z_DEFAULT_INTEGRATION_IMF_RES_PCPS_9_0_0[[#This Row],[TIME_PERIOD]]),2)</f>
        <v>02</v>
      </c>
      <c r="D15">
        <v>52.0555555555556</v>
      </c>
      <c r="E15">
        <v>14</v>
      </c>
      <c r="G15">
        <v>2022</v>
      </c>
      <c r="H15" s="52">
        <v>36.869999999999997</v>
      </c>
      <c r="I15" s="52">
        <v>35.83</v>
      </c>
      <c r="J15" s="52">
        <v>45.51</v>
      </c>
      <c r="K15" s="52">
        <v>48.7</v>
      </c>
      <c r="L15" s="52">
        <v>40.89</v>
      </c>
      <c r="M15" s="52">
        <v>40.33</v>
      </c>
      <c r="N15" s="52">
        <v>38.94</v>
      </c>
      <c r="O15" s="52">
        <v>39.799999999999997</v>
      </c>
      <c r="P15" s="52">
        <v>40.950000000000003</v>
      </c>
      <c r="Q15" s="52">
        <v>41.3</v>
      </c>
      <c r="R15" s="52">
        <v>40.950000000000003</v>
      </c>
      <c r="S15" s="52">
        <v>39.18</v>
      </c>
      <c r="T15" s="1">
        <v>489.28</v>
      </c>
      <c r="U15" s="1">
        <v>40.770000000000003</v>
      </c>
      <c r="V15" s="1">
        <f t="shared" si="8"/>
        <v>24.071819841752902</v>
      </c>
      <c r="W15" s="1"/>
      <c r="X15" s="1">
        <f t="shared" si="0"/>
        <v>35.83</v>
      </c>
      <c r="Y15" s="1">
        <f t="shared" si="1"/>
        <v>39.119999999999997</v>
      </c>
      <c r="Z15" s="1">
        <f t="shared" si="2"/>
        <v>40.92</v>
      </c>
      <c r="AA15" s="1">
        <f t="shared" si="3"/>
        <v>42.352499999999999</v>
      </c>
      <c r="AB15" s="1">
        <f t="shared" si="4"/>
        <v>48.7</v>
      </c>
      <c r="AC15" s="1">
        <f t="shared" si="5"/>
        <v>3.3208644916982424</v>
      </c>
      <c r="AD15" s="1">
        <f t="shared" si="6"/>
        <v>7.8995601173020562</v>
      </c>
      <c r="AE15" s="1">
        <f t="shared" si="7"/>
        <v>8.1453629916562225</v>
      </c>
    </row>
    <row r="16" spans="1:31" x14ac:dyDescent="0.25">
      <c r="A16" t="s">
        <v>245</v>
      </c>
      <c r="B16" t="str">
        <f>LEFT(TRIM(dataset_2025_11_17T13_30_33_170025752Z_DEFAULT_INTEGRATION_IMF_RES_PCPS_9_0_0[[#This Row],[TIME_PERIOD]]),4)</f>
        <v>2012</v>
      </c>
      <c r="C16" t="str">
        <f>RIGHT(TRIM(dataset_2025_11_17T13_30_33_170025752Z_DEFAULT_INTEGRATION_IMF_RES_PCPS_9_0_0[[#This Row],[TIME_PERIOD]]),2)</f>
        <v>03</v>
      </c>
      <c r="D16">
        <v>51.288888888888899</v>
      </c>
      <c r="E16">
        <v>15</v>
      </c>
      <c r="G16">
        <v>2023</v>
      </c>
      <c r="H16" s="52">
        <v>40.06</v>
      </c>
      <c r="I16" s="52">
        <v>41.31</v>
      </c>
      <c r="J16" s="52">
        <v>40.74</v>
      </c>
      <c r="K16" s="52">
        <v>41.76</v>
      </c>
      <c r="L16" s="52">
        <v>43.46</v>
      </c>
      <c r="M16" s="52">
        <v>45.7</v>
      </c>
      <c r="N16" s="52">
        <v>45.25</v>
      </c>
      <c r="O16" s="52">
        <v>46.38</v>
      </c>
      <c r="P16" s="52">
        <v>53.2</v>
      </c>
      <c r="Q16" s="52">
        <v>57.65</v>
      </c>
      <c r="R16" s="52">
        <v>62.29</v>
      </c>
      <c r="S16" s="52">
        <v>70.06</v>
      </c>
      <c r="T16" s="1">
        <v>587.86</v>
      </c>
      <c r="U16" s="1">
        <v>48.99</v>
      </c>
      <c r="V16" s="1">
        <f t="shared" si="8"/>
        <v>20.161883738042675</v>
      </c>
      <c r="W16" s="1"/>
      <c r="X16" s="1">
        <f t="shared" si="0"/>
        <v>40.06</v>
      </c>
      <c r="Y16" s="1">
        <f t="shared" si="1"/>
        <v>41.647500000000001</v>
      </c>
      <c r="Z16" s="1">
        <f t="shared" si="2"/>
        <v>46.040000000000006</v>
      </c>
      <c r="AA16" s="1">
        <f t="shared" si="3"/>
        <v>58.81</v>
      </c>
      <c r="AB16" s="1">
        <f t="shared" si="4"/>
        <v>70.06</v>
      </c>
      <c r="AC16" s="1">
        <f t="shared" si="5"/>
        <v>9.28628902677975</v>
      </c>
      <c r="AD16" s="1">
        <f t="shared" si="6"/>
        <v>37.277367506516072</v>
      </c>
      <c r="AE16" s="1">
        <f t="shared" si="7"/>
        <v>18.955478723779851</v>
      </c>
    </row>
    <row r="17" spans="1:31" x14ac:dyDescent="0.25">
      <c r="A17" t="s">
        <v>246</v>
      </c>
      <c r="B17" t="str">
        <f>LEFT(TRIM(dataset_2025_11_17T13_30_33_170025752Z_DEFAULT_INTEGRATION_IMF_RES_PCPS_9_0_0[[#This Row],[TIME_PERIOD]]),4)</f>
        <v>2012</v>
      </c>
      <c r="C17" t="str">
        <f>RIGHT(TRIM(dataset_2025_11_17T13_30_33_170025752Z_DEFAULT_INTEGRATION_IMF_RES_PCPS_9_0_0[[#This Row],[TIME_PERIOD]]),2)</f>
        <v>04</v>
      </c>
      <c r="D17">
        <v>51.3</v>
      </c>
      <c r="E17">
        <v>16</v>
      </c>
      <c r="G17">
        <v>2024</v>
      </c>
      <c r="H17" s="52">
        <v>80.36</v>
      </c>
      <c r="I17" s="52">
        <v>81.319999999999993</v>
      </c>
      <c r="J17" s="52">
        <v>71.81</v>
      </c>
      <c r="K17" s="52">
        <v>71.64</v>
      </c>
      <c r="L17" s="52">
        <v>73.95</v>
      </c>
      <c r="M17" s="52">
        <v>69.19</v>
      </c>
      <c r="N17" s="52">
        <v>68.25</v>
      </c>
      <c r="O17" s="52">
        <v>65.290000000000006</v>
      </c>
      <c r="P17" s="52">
        <v>64.63</v>
      </c>
      <c r="Q17" s="52">
        <v>66.510000000000005</v>
      </c>
      <c r="R17" s="52">
        <v>63.16</v>
      </c>
      <c r="S17" s="52">
        <v>60.22</v>
      </c>
      <c r="T17" s="1">
        <v>836.33</v>
      </c>
      <c r="U17" s="54">
        <v>69.69</v>
      </c>
      <c r="V17" s="1">
        <f t="shared" si="8"/>
        <v>42.253521126760553</v>
      </c>
      <c r="W17" s="1"/>
      <c r="X17" s="1">
        <f t="shared" si="0"/>
        <v>60.22</v>
      </c>
      <c r="Y17" s="1">
        <f t="shared" si="1"/>
        <v>65.125</v>
      </c>
      <c r="Z17" s="1">
        <f t="shared" si="2"/>
        <v>68.72</v>
      </c>
      <c r="AA17" s="1">
        <f t="shared" si="3"/>
        <v>71.682500000000005</v>
      </c>
      <c r="AB17" s="1">
        <f t="shared" si="4"/>
        <v>81.319999999999993</v>
      </c>
      <c r="AC17" s="1">
        <f t="shared" si="5"/>
        <v>6.2267667617757727</v>
      </c>
      <c r="AD17" s="1">
        <f t="shared" si="6"/>
        <v>9.5423457508731158</v>
      </c>
      <c r="AE17" s="1">
        <f t="shared" si="7"/>
        <v>8.9349501532153432</v>
      </c>
    </row>
    <row r="18" spans="1:31" x14ac:dyDescent="0.25">
      <c r="A18" t="s">
        <v>247</v>
      </c>
      <c r="B18" t="str">
        <f>LEFT(TRIM(dataset_2025_11_17T13_30_33_170025752Z_DEFAULT_INTEGRATION_IMF_RES_PCPS_9_0_0[[#This Row],[TIME_PERIOD]]),4)</f>
        <v>2012</v>
      </c>
      <c r="C18" t="str">
        <f>RIGHT(TRIM(dataset_2025_11_17T13_30_33_170025752Z_DEFAULT_INTEGRATION_IMF_RES_PCPS_9_0_0[[#This Row],[TIME_PERIOD]]),2)</f>
        <v>05</v>
      </c>
      <c r="D18">
        <v>51.8888888888889</v>
      </c>
      <c r="E18">
        <v>17</v>
      </c>
      <c r="G18">
        <v>2025</v>
      </c>
      <c r="H18" s="52">
        <v>58.96</v>
      </c>
      <c r="I18" s="52">
        <v>54.32</v>
      </c>
      <c r="J18" s="52">
        <v>51.83</v>
      </c>
      <c r="K18" s="52">
        <v>52.69</v>
      </c>
      <c r="L18" s="52">
        <v>57.31</v>
      </c>
      <c r="M18" s="52">
        <v>59.58</v>
      </c>
      <c r="N18" s="52">
        <v>58.95</v>
      </c>
      <c r="O18" s="52">
        <v>58.97</v>
      </c>
      <c r="P18" s="52">
        <v>62.88</v>
      </c>
      <c r="Q18" s="52">
        <v>63.96</v>
      </c>
      <c r="R18" s="52"/>
      <c r="S18" s="52"/>
      <c r="T18" s="1">
        <v>579.42999999999995</v>
      </c>
      <c r="U18" s="1">
        <v>57.94</v>
      </c>
      <c r="V18" s="1">
        <f t="shared" si="8"/>
        <v>-16.860381690342948</v>
      </c>
      <c r="W18" s="1"/>
      <c r="X18" s="1">
        <f t="shared" si="0"/>
        <v>51.83</v>
      </c>
      <c r="Y18" s="1">
        <f t="shared" si="1"/>
        <v>55.067500000000003</v>
      </c>
      <c r="Z18" s="1">
        <f t="shared" si="2"/>
        <v>58.96</v>
      </c>
      <c r="AA18" s="1">
        <f t="shared" si="3"/>
        <v>62.055</v>
      </c>
      <c r="AB18" s="1">
        <f t="shared" si="4"/>
        <v>63.96</v>
      </c>
      <c r="AC18" s="1">
        <f t="shared" si="5"/>
        <v>3.8059249861236113</v>
      </c>
      <c r="AD18" s="1">
        <f t="shared" si="6"/>
        <v>11.851255088195384</v>
      </c>
      <c r="AE18" s="1">
        <f t="shared" si="7"/>
        <v>6.5687348742209375</v>
      </c>
    </row>
    <row r="19" spans="1:31" x14ac:dyDescent="0.25">
      <c r="A19" t="s">
        <v>248</v>
      </c>
      <c r="B19" t="str">
        <f>LEFT(TRIM(dataset_2025_11_17T13_30_33_170025752Z_DEFAULT_INTEGRATION_IMF_RES_PCPS_9_0_0[[#This Row],[TIME_PERIOD]]),4)</f>
        <v>2012</v>
      </c>
      <c r="C19" t="str">
        <f>RIGHT(TRIM(dataset_2025_11_17T13_30_33_170025752Z_DEFAULT_INTEGRATION_IMF_RES_PCPS_9_0_0[[#This Row],[TIME_PERIOD]]),2)</f>
        <v>06</v>
      </c>
      <c r="D19">
        <v>50.8333333333333</v>
      </c>
      <c r="E19">
        <v>18</v>
      </c>
      <c r="G19" s="10" t="s">
        <v>412</v>
      </c>
      <c r="H19" s="10">
        <v>609.74935989999994</v>
      </c>
      <c r="I19" s="10">
        <v>609.89068320000001</v>
      </c>
      <c r="J19" s="10">
        <v>597.67017139999996</v>
      </c>
      <c r="K19" s="10">
        <v>594.24249729999997</v>
      </c>
      <c r="L19" s="10">
        <v>588.42471799999998</v>
      </c>
      <c r="M19" s="10">
        <v>585.11694620000003</v>
      </c>
      <c r="N19" s="10">
        <v>576.78847919999998</v>
      </c>
      <c r="O19" s="10">
        <v>573.45124050000004</v>
      </c>
      <c r="P19" s="10">
        <v>600.13230469999996</v>
      </c>
      <c r="Q19" s="10">
        <v>596.46816899999999</v>
      </c>
      <c r="R19" s="10">
        <v>528.66802159999997</v>
      </c>
      <c r="S19" s="10">
        <v>536.20426110000005</v>
      </c>
      <c r="T19" s="10">
        <v>6996.8068519999997</v>
      </c>
      <c r="U19" s="10">
        <v>583.06723769999996</v>
      </c>
      <c r="V19" s="11"/>
    </row>
    <row r="20" spans="1:31" ht="23.25" customHeight="1" x14ac:dyDescent="0.25">
      <c r="A20" t="s">
        <v>249</v>
      </c>
      <c r="B20" t="str">
        <f>LEFT(TRIM(dataset_2025_11_17T13_30_33_170025752Z_DEFAULT_INTEGRATION_IMF_RES_PCPS_9_0_0[[#This Row],[TIME_PERIOD]]),4)</f>
        <v>2012</v>
      </c>
      <c r="C20" t="str">
        <f>RIGHT(TRIM(dataset_2025_11_17T13_30_33_170025752Z_DEFAULT_INTEGRATION_IMF_RES_PCPS_9_0_0[[#This Row],[TIME_PERIOD]]),2)</f>
        <v>07</v>
      </c>
      <c r="D20">
        <v>50.355555555555597</v>
      </c>
      <c r="E20">
        <v>19</v>
      </c>
      <c r="G20" s="29" t="s">
        <v>423</v>
      </c>
      <c r="H20" s="29">
        <f t="shared" ref="H20:S20" si="9">AVERAGE(H4:H18)</f>
        <v>40.649333333333331</v>
      </c>
      <c r="I20" s="29">
        <f t="shared" si="9"/>
        <v>40.660666666666664</v>
      </c>
      <c r="J20" s="29">
        <f t="shared" si="9"/>
        <v>39.843333333333334</v>
      </c>
      <c r="K20" s="29">
        <f t="shared" si="9"/>
        <v>39.615333333333332</v>
      </c>
      <c r="L20" s="29">
        <f t="shared" si="9"/>
        <v>39.228000000000002</v>
      </c>
      <c r="M20" s="29">
        <f t="shared" si="9"/>
        <v>39.008666666666663</v>
      </c>
      <c r="N20" s="29">
        <f t="shared" si="9"/>
        <v>38.453333333333347</v>
      </c>
      <c r="O20" s="29">
        <f t="shared" si="9"/>
        <v>38.230666666666671</v>
      </c>
      <c r="P20" s="29">
        <f t="shared" si="9"/>
        <v>40.009333333333331</v>
      </c>
      <c r="Q20" s="29">
        <f t="shared" si="9"/>
        <v>39.765333333333345</v>
      </c>
      <c r="R20" s="29">
        <f t="shared" si="9"/>
        <v>37.762142857142862</v>
      </c>
      <c r="S20" s="29">
        <f t="shared" si="9"/>
        <v>38.300714285714278</v>
      </c>
      <c r="T20" s="29"/>
    </row>
    <row r="21" spans="1:31" ht="15.75" customHeight="1" x14ac:dyDescent="0.25">
      <c r="A21" t="s">
        <v>250</v>
      </c>
      <c r="B21" t="str">
        <f>LEFT(TRIM(dataset_2025_11_17T13_30_33_170025752Z_DEFAULT_INTEGRATION_IMF_RES_PCPS_9_0_0[[#This Row],[TIME_PERIOD]]),4)</f>
        <v>2012</v>
      </c>
      <c r="C21" t="str">
        <f>RIGHT(TRIM(dataset_2025_11_17T13_30_33_170025752Z_DEFAULT_INTEGRATION_IMF_RES_PCPS_9_0_0[[#This Row],[TIME_PERIOD]]),2)</f>
        <v>08</v>
      </c>
      <c r="D21">
        <v>49.25</v>
      </c>
      <c r="E21">
        <v>20</v>
      </c>
    </row>
    <row r="22" spans="1:31" ht="15.75" customHeight="1" x14ac:dyDescent="0.25">
      <c r="A22" t="s">
        <v>251</v>
      </c>
      <c r="B22" t="str">
        <f>LEFT(TRIM(dataset_2025_11_17T13_30_33_170025752Z_DEFAULT_INTEGRATION_IMF_RES_PCPS_9_0_0[[#This Row],[TIME_PERIOD]]),4)</f>
        <v>2012</v>
      </c>
      <c r="C22" t="str">
        <f>RIGHT(TRIM(dataset_2025_11_17T13_30_33_170025752Z_DEFAULT_INTEGRATION_IMF_RES_PCPS_9_0_0[[#This Row],[TIME_PERIOD]]),2)</f>
        <v>09</v>
      </c>
      <c r="D22">
        <v>47.725000000000001</v>
      </c>
      <c r="E22">
        <v>21</v>
      </c>
    </row>
    <row r="23" spans="1:31" x14ac:dyDescent="0.25">
      <c r="A23" t="s">
        <v>252</v>
      </c>
      <c r="B23" t="str">
        <f>LEFT(TRIM(dataset_2025_11_17T13_30_33_170025752Z_DEFAULT_INTEGRATION_IMF_RES_PCPS_9_0_0[[#This Row],[TIME_PERIOD]]),4)</f>
        <v>2012</v>
      </c>
      <c r="C23" t="str">
        <f>RIGHT(TRIM(dataset_2025_11_17T13_30_33_170025752Z_DEFAULT_INTEGRATION_IMF_RES_PCPS_9_0_0[[#This Row],[TIME_PERIOD]]),2)</f>
        <v>10</v>
      </c>
      <c r="D23">
        <v>44.6111111111111</v>
      </c>
      <c r="E23">
        <v>22</v>
      </c>
    </row>
    <row r="24" spans="1:31" x14ac:dyDescent="0.25">
      <c r="A24" t="s">
        <v>253</v>
      </c>
      <c r="B24" t="str">
        <f>LEFT(TRIM(dataset_2025_11_17T13_30_33_170025752Z_DEFAULT_INTEGRATION_IMF_RES_PCPS_9_0_0[[#This Row],[TIME_PERIOD]]),4)</f>
        <v>2012</v>
      </c>
      <c r="C24" t="str">
        <f>RIGHT(TRIM(dataset_2025_11_17T13_30_33_170025752Z_DEFAULT_INTEGRATION_IMF_RES_PCPS_9_0_0[[#This Row],[TIME_PERIOD]]),2)</f>
        <v>11</v>
      </c>
      <c r="D24">
        <v>41.5</v>
      </c>
      <c r="E24">
        <v>23</v>
      </c>
    </row>
    <row r="25" spans="1:31" x14ac:dyDescent="0.25">
      <c r="A25" t="s">
        <v>254</v>
      </c>
      <c r="B25" t="str">
        <f>LEFT(TRIM(dataset_2025_11_17T13_30_33_170025752Z_DEFAULT_INTEGRATION_IMF_RES_PCPS_9_0_0[[#This Row],[TIME_PERIOD]]),4)</f>
        <v>2012</v>
      </c>
      <c r="C25" t="str">
        <f>RIGHT(TRIM(dataset_2025_11_17T13_30_33_170025752Z_DEFAULT_INTEGRATION_IMF_RES_PCPS_9_0_0[[#This Row],[TIME_PERIOD]]),2)</f>
        <v>12</v>
      </c>
      <c r="D25">
        <v>43.6666666666667</v>
      </c>
      <c r="E25">
        <v>24</v>
      </c>
      <c r="G25" t="s">
        <v>424</v>
      </c>
    </row>
    <row r="26" spans="1:31" ht="21" x14ac:dyDescent="0.35">
      <c r="A26" t="s">
        <v>255</v>
      </c>
      <c r="B26" t="str">
        <f>LEFT(TRIM(dataset_2025_11_17T13_30_33_170025752Z_DEFAULT_INTEGRATION_IMF_RES_PCPS_9_0_0[[#This Row],[TIME_PERIOD]]),4)</f>
        <v>2013</v>
      </c>
      <c r="C26" t="str">
        <f>RIGHT(TRIM(dataset_2025_11_17T13_30_33_170025752Z_DEFAULT_INTEGRATION_IMF_RES_PCPS_9_0_0[[#This Row],[TIME_PERIOD]]),2)</f>
        <v>01</v>
      </c>
      <c r="D26">
        <v>42.75</v>
      </c>
      <c r="E26">
        <v>25</v>
      </c>
      <c r="G26" s="12"/>
    </row>
    <row r="27" spans="1:31" x14ac:dyDescent="0.25">
      <c r="A27" t="s">
        <v>256</v>
      </c>
      <c r="B27" t="str">
        <f>LEFT(TRIM(dataset_2025_11_17T13_30_33_170025752Z_DEFAULT_INTEGRATION_IMF_RES_PCPS_9_0_0[[#This Row],[TIME_PERIOD]]),4)</f>
        <v>2013</v>
      </c>
      <c r="C27" t="str">
        <f>RIGHT(TRIM(dataset_2025_11_17T13_30_33_170025752Z_DEFAULT_INTEGRATION_IMF_RES_PCPS_9_0_0[[#This Row],[TIME_PERIOD]]),2)</f>
        <v>02</v>
      </c>
      <c r="D27">
        <v>43.40625</v>
      </c>
      <c r="E27">
        <v>26</v>
      </c>
      <c r="G27" t="s">
        <v>425</v>
      </c>
      <c r="J27" s="14">
        <f>AVERAGE(U4:U18)</f>
        <v>39.515333333333338</v>
      </c>
    </row>
    <row r="28" spans="1:31" x14ac:dyDescent="0.25">
      <c r="A28" t="s">
        <v>257</v>
      </c>
      <c r="B28" t="str">
        <f>LEFT(TRIM(dataset_2025_11_17T13_30_33_170025752Z_DEFAULT_INTEGRATION_IMF_RES_PCPS_9_0_0[[#This Row],[TIME_PERIOD]]),4)</f>
        <v>2013</v>
      </c>
      <c r="C28" t="str">
        <f>RIGHT(TRIM(dataset_2025_11_17T13_30_33_170025752Z_DEFAULT_INTEGRATION_IMF_RES_PCPS_9_0_0[[#This Row],[TIME_PERIOD]]),2)</f>
        <v>03</v>
      </c>
      <c r="D28">
        <v>42.28125</v>
      </c>
      <c r="E28">
        <v>27</v>
      </c>
      <c r="G28" t="s">
        <v>426</v>
      </c>
      <c r="J28" s="14">
        <f>_xlfn.STDEV.P(U4:U18)</f>
        <v>13.619218218711726</v>
      </c>
      <c r="K28" t="s">
        <v>427</v>
      </c>
      <c r="L28" t="s">
        <v>427</v>
      </c>
      <c r="M28" t="s">
        <v>427</v>
      </c>
    </row>
    <row r="29" spans="1:31" x14ac:dyDescent="0.25">
      <c r="A29" t="s">
        <v>258</v>
      </c>
      <c r="B29" t="str">
        <f>LEFT(TRIM(dataset_2025_11_17T13_30_33_170025752Z_DEFAULT_INTEGRATION_IMF_RES_PCPS_9_0_0[[#This Row],[TIME_PERIOD]]),4)</f>
        <v>2013</v>
      </c>
      <c r="C29" t="str">
        <f>RIGHT(TRIM(dataset_2025_11_17T13_30_33_170025752Z_DEFAULT_INTEGRATION_IMF_RES_PCPS_9_0_0[[#This Row],[TIME_PERIOD]]),2)</f>
        <v>04</v>
      </c>
      <c r="D29">
        <v>41.412500000000001</v>
      </c>
      <c r="E29">
        <v>28</v>
      </c>
      <c r="G29" t="s">
        <v>428</v>
      </c>
      <c r="J29" s="14">
        <f>J28/J27</f>
        <v>0.34465654392501793</v>
      </c>
      <c r="K29" t="s">
        <v>427</v>
      </c>
      <c r="L29" t="s">
        <v>427</v>
      </c>
      <c r="M29" t="s">
        <v>427</v>
      </c>
      <c r="P29" t="s">
        <v>427</v>
      </c>
    </row>
    <row r="30" spans="1:31" x14ac:dyDescent="0.25">
      <c r="A30" t="s">
        <v>259</v>
      </c>
      <c r="B30" t="str">
        <f>LEFT(TRIM(dataset_2025_11_17T13_30_33_170025752Z_DEFAULT_INTEGRATION_IMF_RES_PCPS_9_0_0[[#This Row],[TIME_PERIOD]]),4)</f>
        <v>2013</v>
      </c>
      <c r="C30" t="str">
        <f>RIGHT(TRIM(dataset_2025_11_17T13_30_33_170025752Z_DEFAULT_INTEGRATION_IMF_RES_PCPS_9_0_0[[#This Row],[TIME_PERIOD]]),2)</f>
        <v>05</v>
      </c>
      <c r="D30">
        <v>40.604999999999997</v>
      </c>
      <c r="E30">
        <v>29</v>
      </c>
      <c r="G30" t="s">
        <v>429</v>
      </c>
    </row>
    <row r="31" spans="1:31" x14ac:dyDescent="0.25">
      <c r="A31" t="s">
        <v>260</v>
      </c>
      <c r="B31" t="str">
        <f>LEFT(TRIM(dataset_2025_11_17T13_30_33_170025752Z_DEFAULT_INTEGRATION_IMF_RES_PCPS_9_0_0[[#This Row],[TIME_PERIOD]]),4)</f>
        <v>2013</v>
      </c>
      <c r="C31" t="str">
        <f>RIGHT(TRIM(dataset_2025_11_17T13_30_33_170025752Z_DEFAULT_INTEGRATION_IMF_RES_PCPS_9_0_0[[#This Row],[TIME_PERIOD]]),2)</f>
        <v>06</v>
      </c>
      <c r="D31">
        <v>39.9375</v>
      </c>
      <c r="E31">
        <v>30</v>
      </c>
    </row>
    <row r="32" spans="1:31" x14ac:dyDescent="0.25">
      <c r="A32" t="s">
        <v>261</v>
      </c>
      <c r="B32" t="str">
        <f>LEFT(TRIM(dataset_2025_11_17T13_30_33_170025752Z_DEFAULT_INTEGRATION_IMF_RES_PCPS_9_0_0[[#This Row],[TIME_PERIOD]]),4)</f>
        <v>2013</v>
      </c>
      <c r="C32" t="str">
        <f>RIGHT(TRIM(dataset_2025_11_17T13_30_33_170025752Z_DEFAULT_INTEGRATION_IMF_RES_PCPS_9_0_0[[#This Row],[TIME_PERIOD]]),2)</f>
        <v>07</v>
      </c>
      <c r="D32">
        <v>38.022222222222197</v>
      </c>
      <c r="E32">
        <v>31</v>
      </c>
      <c r="G32" t="s">
        <v>430</v>
      </c>
      <c r="L32" s="13">
        <f>(U18-U4)/U4</f>
        <v>3.0227596017069626E-2</v>
      </c>
    </row>
    <row r="33" spans="1:7" x14ac:dyDescent="0.25">
      <c r="A33" t="s">
        <v>262</v>
      </c>
      <c r="B33" t="str">
        <f>LEFT(TRIM(dataset_2025_11_17T13_30_33_170025752Z_DEFAULT_INTEGRATION_IMF_RES_PCPS_9_0_0[[#This Row],[TIME_PERIOD]]),4)</f>
        <v>2013</v>
      </c>
      <c r="C33" t="str">
        <f>RIGHT(TRIM(dataset_2025_11_17T13_30_33_170025752Z_DEFAULT_INTEGRATION_IMF_RES_PCPS_9_0_0[[#This Row],[TIME_PERIOD]]),2)</f>
        <v>08</v>
      </c>
      <c r="D33">
        <v>34.994162640901799</v>
      </c>
      <c r="E33">
        <v>32</v>
      </c>
      <c r="G33" t="s">
        <v>431</v>
      </c>
    </row>
    <row r="34" spans="1:7" x14ac:dyDescent="0.25">
      <c r="A34" t="s">
        <v>263</v>
      </c>
      <c r="B34" t="str">
        <f>LEFT(TRIM(dataset_2025_11_17T13_30_33_170025752Z_DEFAULT_INTEGRATION_IMF_RES_PCPS_9_0_0[[#This Row],[TIME_PERIOD]]),4)</f>
        <v>2013</v>
      </c>
      <c r="C34" t="str">
        <f>RIGHT(TRIM(dataset_2025_11_17T13_30_33_170025752Z_DEFAULT_INTEGRATION_IMF_RES_PCPS_9_0_0[[#This Row],[TIME_PERIOD]]),2)</f>
        <v>09</v>
      </c>
      <c r="D34">
        <v>34.453286749482402</v>
      </c>
      <c r="E34">
        <v>33</v>
      </c>
    </row>
    <row r="35" spans="1:7" x14ac:dyDescent="0.25">
      <c r="A35" t="s">
        <v>264</v>
      </c>
      <c r="B35" t="str">
        <f>LEFT(TRIM(dataset_2025_11_17T13_30_33_170025752Z_DEFAULT_INTEGRATION_IMF_RES_PCPS_9_0_0[[#This Row],[TIME_PERIOD]]),4)</f>
        <v>2013</v>
      </c>
      <c r="C35" t="str">
        <f>RIGHT(TRIM(dataset_2025_11_17T13_30_33_170025752Z_DEFAULT_INTEGRATION_IMF_RES_PCPS_9_0_0[[#This Row],[TIME_PERIOD]]),2)</f>
        <v>10</v>
      </c>
      <c r="D35">
        <v>34.848495589161899</v>
      </c>
      <c r="E35">
        <v>34</v>
      </c>
    </row>
    <row r="36" spans="1:7" x14ac:dyDescent="0.25">
      <c r="A36" t="s">
        <v>265</v>
      </c>
      <c r="B36" t="str">
        <f>LEFT(TRIM(dataset_2025_11_17T13_30_33_170025752Z_DEFAULT_INTEGRATION_IMF_RES_PCPS_9_0_0[[#This Row],[TIME_PERIOD]]),4)</f>
        <v>2013</v>
      </c>
      <c r="C36" t="str">
        <f>RIGHT(TRIM(dataset_2025_11_17T13_30_33_170025752Z_DEFAULT_INTEGRATION_IMF_RES_PCPS_9_0_0[[#This Row],[TIME_PERIOD]]),2)</f>
        <v>11</v>
      </c>
      <c r="D36">
        <v>35.592003105590003</v>
      </c>
      <c r="E36">
        <v>35</v>
      </c>
    </row>
    <row r="37" spans="1:7" x14ac:dyDescent="0.25">
      <c r="A37" t="s">
        <v>266</v>
      </c>
      <c r="B37" t="str">
        <f>LEFT(TRIM(dataset_2025_11_17T13_30_33_170025752Z_DEFAULT_INTEGRATION_IMF_RES_PCPS_9_0_0[[#This Row],[TIME_PERIOD]]),4)</f>
        <v>2013</v>
      </c>
      <c r="C37" t="str">
        <f>RIGHT(TRIM(dataset_2025_11_17T13_30_33_170025752Z_DEFAULT_INTEGRATION_IMF_RES_PCPS_9_0_0[[#This Row],[TIME_PERIOD]]),2)</f>
        <v>12</v>
      </c>
      <c r="D37">
        <v>34.593297101449302</v>
      </c>
      <c r="E37">
        <v>36</v>
      </c>
    </row>
    <row r="38" spans="1:7" x14ac:dyDescent="0.25">
      <c r="A38" t="s">
        <v>267</v>
      </c>
      <c r="B38" t="str">
        <f>LEFT(TRIM(dataset_2025_11_17T13_30_33_170025752Z_DEFAULT_INTEGRATION_IMF_RES_PCPS_9_0_0[[#This Row],[TIME_PERIOD]]),4)</f>
        <v>2014</v>
      </c>
      <c r="C38" t="str">
        <f>RIGHT(TRIM(dataset_2025_11_17T13_30_33_170025752Z_DEFAULT_INTEGRATION_IMF_RES_PCPS_9_0_0[[#This Row],[TIME_PERIOD]]),2)</f>
        <v>01</v>
      </c>
      <c r="D38">
        <v>35.214988972904798</v>
      </c>
      <c r="E38">
        <v>37</v>
      </c>
    </row>
    <row r="39" spans="1:7" x14ac:dyDescent="0.25">
      <c r="A39" t="s">
        <v>268</v>
      </c>
      <c r="B39" t="str">
        <f>LEFT(TRIM(dataset_2025_11_17T13_30_33_170025752Z_DEFAULT_INTEGRATION_IMF_RES_PCPS_9_0_0[[#This Row],[TIME_PERIOD]]),4)</f>
        <v>2014</v>
      </c>
      <c r="C39" t="str">
        <f>RIGHT(TRIM(dataset_2025_11_17T13_30_33_170025752Z_DEFAULT_INTEGRATION_IMF_RES_PCPS_9_0_0[[#This Row],[TIME_PERIOD]]),2)</f>
        <v>02</v>
      </c>
      <c r="D39">
        <v>35.546739130434801</v>
      </c>
      <c r="E39">
        <v>38</v>
      </c>
    </row>
    <row r="40" spans="1:7" x14ac:dyDescent="0.25">
      <c r="A40" t="s">
        <v>269</v>
      </c>
      <c r="B40" t="str">
        <f>LEFT(TRIM(dataset_2025_11_17T13_30_33_170025752Z_DEFAULT_INTEGRATION_IMF_RES_PCPS_9_0_0[[#This Row],[TIME_PERIOD]]),4)</f>
        <v>2014</v>
      </c>
      <c r="C40" t="str">
        <f>RIGHT(TRIM(dataset_2025_11_17T13_30_33_170025752Z_DEFAULT_INTEGRATION_IMF_RES_PCPS_9_0_0[[#This Row],[TIME_PERIOD]]),2)</f>
        <v>03</v>
      </c>
      <c r="D40">
        <v>34.7028554175293</v>
      </c>
      <c r="E40">
        <v>39</v>
      </c>
    </row>
    <row r="41" spans="1:7" x14ac:dyDescent="0.25">
      <c r="A41" t="s">
        <v>270</v>
      </c>
      <c r="B41" t="str">
        <f>LEFT(TRIM(dataset_2025_11_17T13_30_33_170025752Z_DEFAULT_INTEGRATION_IMF_RES_PCPS_9_0_0[[#This Row],[TIME_PERIOD]]),4)</f>
        <v>2014</v>
      </c>
      <c r="C41" t="str">
        <f>RIGHT(TRIM(dataset_2025_11_17T13_30_33_170025752Z_DEFAULT_INTEGRATION_IMF_RES_PCPS_9_0_0[[#This Row],[TIME_PERIOD]]),2)</f>
        <v>04</v>
      </c>
      <c r="D41">
        <v>32.744565217391298</v>
      </c>
      <c r="E41">
        <v>40</v>
      </c>
    </row>
    <row r="42" spans="1:7" x14ac:dyDescent="0.25">
      <c r="A42" t="s">
        <v>271</v>
      </c>
      <c r="B42" t="str">
        <f>LEFT(TRIM(dataset_2025_11_17T13_30_33_170025752Z_DEFAULT_INTEGRATION_IMF_RES_PCPS_9_0_0[[#This Row],[TIME_PERIOD]]),4)</f>
        <v>2014</v>
      </c>
      <c r="C42" t="str">
        <f>RIGHT(TRIM(dataset_2025_11_17T13_30_33_170025752Z_DEFAULT_INTEGRATION_IMF_RES_PCPS_9_0_0[[#This Row],[TIME_PERIOD]]),2)</f>
        <v>05</v>
      </c>
      <c r="D42">
        <v>28.539855072463801</v>
      </c>
      <c r="E42">
        <v>41</v>
      </c>
    </row>
    <row r="43" spans="1:7" x14ac:dyDescent="0.25">
      <c r="A43" t="s">
        <v>272</v>
      </c>
      <c r="B43" t="str">
        <f>LEFT(TRIM(dataset_2025_11_17T13_30_33_170025752Z_DEFAULT_INTEGRATION_IMF_RES_PCPS_9_0_0[[#This Row],[TIME_PERIOD]]),4)</f>
        <v>2014</v>
      </c>
      <c r="C43" t="str">
        <f>RIGHT(TRIM(dataset_2025_11_17T13_30_33_170025752Z_DEFAULT_INTEGRATION_IMF_RES_PCPS_9_0_0[[#This Row],[TIME_PERIOD]]),2)</f>
        <v>06</v>
      </c>
      <c r="D43">
        <v>28.2254572118702</v>
      </c>
      <c r="E43">
        <v>42</v>
      </c>
    </row>
    <row r="44" spans="1:7" x14ac:dyDescent="0.25">
      <c r="A44" t="s">
        <v>273</v>
      </c>
      <c r="B44" t="str">
        <f>LEFT(TRIM(dataset_2025_11_17T13_30_33_170025752Z_DEFAULT_INTEGRATION_IMF_RES_PCPS_9_0_0[[#This Row],[TIME_PERIOD]]),4)</f>
        <v>2014</v>
      </c>
      <c r="C44" t="str">
        <f>RIGHT(TRIM(dataset_2025_11_17T13_30_33_170025752Z_DEFAULT_INTEGRATION_IMF_RES_PCPS_9_0_0[[#This Row],[TIME_PERIOD]]),2)</f>
        <v>07</v>
      </c>
      <c r="D44">
        <v>28.4002047889099</v>
      </c>
      <c r="E44">
        <v>43</v>
      </c>
    </row>
    <row r="45" spans="1:7" x14ac:dyDescent="0.25">
      <c r="A45" t="s">
        <v>274</v>
      </c>
      <c r="B45" t="str">
        <f>LEFT(TRIM(dataset_2025_11_17T13_30_33_170025752Z_DEFAULT_INTEGRATION_IMF_RES_PCPS_9_0_0[[#This Row],[TIME_PERIOD]]),4)</f>
        <v>2014</v>
      </c>
      <c r="C45" t="str">
        <f>RIGHT(TRIM(dataset_2025_11_17T13_30_33_170025752Z_DEFAULT_INTEGRATION_IMF_RES_PCPS_9_0_0[[#This Row],[TIME_PERIOD]]),2)</f>
        <v>08</v>
      </c>
      <c r="D45">
        <v>30.829321946169799</v>
      </c>
      <c r="E45">
        <v>44</v>
      </c>
    </row>
    <row r="46" spans="1:7" x14ac:dyDescent="0.25">
      <c r="A46" t="s">
        <v>275</v>
      </c>
      <c r="B46" t="str">
        <f>LEFT(TRIM(dataset_2025_11_17T13_30_33_170025752Z_DEFAULT_INTEGRATION_IMF_RES_PCPS_9_0_0[[#This Row],[TIME_PERIOD]]),4)</f>
        <v>2014</v>
      </c>
      <c r="C46" t="str">
        <f>RIGHT(TRIM(dataset_2025_11_17T13_30_33_170025752Z_DEFAULT_INTEGRATION_IMF_RES_PCPS_9_0_0[[#This Row],[TIME_PERIOD]]),2)</f>
        <v>09</v>
      </c>
      <c r="D46">
        <v>34.371829710144901</v>
      </c>
      <c r="E46">
        <v>45</v>
      </c>
    </row>
    <row r="47" spans="1:7" x14ac:dyDescent="0.25">
      <c r="A47" t="s">
        <v>276</v>
      </c>
      <c r="B47" t="str">
        <f>LEFT(TRIM(dataset_2025_11_17T13_30_33_170025752Z_DEFAULT_INTEGRATION_IMF_RES_PCPS_9_0_0[[#This Row],[TIME_PERIOD]]),4)</f>
        <v>2014</v>
      </c>
      <c r="C47" t="str">
        <f>RIGHT(TRIM(dataset_2025_11_17T13_30_33_170025752Z_DEFAULT_INTEGRATION_IMF_RES_PCPS_9_0_0[[#This Row],[TIME_PERIOD]]),2)</f>
        <v>10</v>
      </c>
      <c r="D47">
        <v>35.751732829237497</v>
      </c>
      <c r="E47">
        <v>46</v>
      </c>
    </row>
    <row r="48" spans="1:7" x14ac:dyDescent="0.25">
      <c r="A48" t="s">
        <v>277</v>
      </c>
      <c r="B48" t="str">
        <f>LEFT(TRIM(dataset_2025_11_17T13_30_33_170025752Z_DEFAULT_INTEGRATION_IMF_RES_PCPS_9_0_0[[#This Row],[TIME_PERIOD]]),4)</f>
        <v>2014</v>
      </c>
      <c r="C48" t="str">
        <f>RIGHT(TRIM(dataset_2025_11_17T13_30_33_170025752Z_DEFAULT_INTEGRATION_IMF_RES_PCPS_9_0_0[[#This Row],[TIME_PERIOD]]),2)</f>
        <v>11</v>
      </c>
      <c r="D48">
        <v>40.597373188405797</v>
      </c>
      <c r="E48">
        <v>47</v>
      </c>
    </row>
    <row r="49" spans="1:5" x14ac:dyDescent="0.25">
      <c r="A49" t="s">
        <v>278</v>
      </c>
      <c r="B49" t="str">
        <f>LEFT(TRIM(dataset_2025_11_17T13_30_33_170025752Z_DEFAULT_INTEGRATION_IMF_RES_PCPS_9_0_0[[#This Row],[TIME_PERIOD]]),4)</f>
        <v>2014</v>
      </c>
      <c r="C49" t="str">
        <f>RIGHT(TRIM(dataset_2025_11_17T13_30_33_170025752Z_DEFAULT_INTEGRATION_IMF_RES_PCPS_9_0_0[[#This Row],[TIME_PERIOD]]),2)</f>
        <v>12</v>
      </c>
      <c r="D49">
        <v>36.948251417769299</v>
      </c>
      <c r="E49">
        <v>48</v>
      </c>
    </row>
    <row r="50" spans="1:5" x14ac:dyDescent="0.25">
      <c r="A50" t="s">
        <v>279</v>
      </c>
      <c r="B50" t="str">
        <f>LEFT(TRIM(dataset_2025_11_17T13_30_33_170025752Z_DEFAULT_INTEGRATION_IMF_RES_PCPS_9_0_0[[#This Row],[TIME_PERIOD]]),4)</f>
        <v>2015</v>
      </c>
      <c r="C50" t="str">
        <f>RIGHT(TRIM(dataset_2025_11_17T13_30_33_170025752Z_DEFAULT_INTEGRATION_IMF_RES_PCPS_9_0_0[[#This Row],[TIME_PERIOD]]),2)</f>
        <v>01</v>
      </c>
      <c r="D50">
        <v>35.897727272727302</v>
      </c>
      <c r="E50">
        <v>49</v>
      </c>
    </row>
    <row r="51" spans="1:5" x14ac:dyDescent="0.25">
      <c r="A51" t="s">
        <v>280</v>
      </c>
      <c r="B51" t="str">
        <f>LEFT(TRIM(dataset_2025_11_17T13_30_33_170025752Z_DEFAULT_INTEGRATION_IMF_RES_PCPS_9_0_0[[#This Row],[TIME_PERIOD]]),4)</f>
        <v>2015</v>
      </c>
      <c r="C51" t="str">
        <f>RIGHT(TRIM(dataset_2025_11_17T13_30_33_170025752Z_DEFAULT_INTEGRATION_IMF_RES_PCPS_9_0_0[[#This Row],[TIME_PERIOD]]),2)</f>
        <v>02</v>
      </c>
      <c r="D51">
        <v>38.1875</v>
      </c>
      <c r="E51">
        <v>50</v>
      </c>
    </row>
    <row r="52" spans="1:5" x14ac:dyDescent="0.25">
      <c r="A52" t="s">
        <v>281</v>
      </c>
      <c r="B52" t="str">
        <f>LEFT(TRIM(dataset_2025_11_17T13_30_33_170025752Z_DEFAULT_INTEGRATION_IMF_RES_PCPS_9_0_0[[#This Row],[TIME_PERIOD]]),4)</f>
        <v>2015</v>
      </c>
      <c r="C52" t="str">
        <f>RIGHT(TRIM(dataset_2025_11_17T13_30_33_170025752Z_DEFAULT_INTEGRATION_IMF_RES_PCPS_9_0_0[[#This Row],[TIME_PERIOD]]),2)</f>
        <v>03</v>
      </c>
      <c r="D52">
        <v>39.318181818181799</v>
      </c>
      <c r="E52">
        <v>51</v>
      </c>
    </row>
    <row r="53" spans="1:5" x14ac:dyDescent="0.25">
      <c r="A53" t="s">
        <v>282</v>
      </c>
      <c r="B53" t="str">
        <f>LEFT(TRIM(dataset_2025_11_17T13_30_33_170025752Z_DEFAULT_INTEGRATION_IMF_RES_PCPS_9_0_0[[#This Row],[TIME_PERIOD]]),4)</f>
        <v>2015</v>
      </c>
      <c r="C53" t="str">
        <f>RIGHT(TRIM(dataset_2025_11_17T13_30_33_170025752Z_DEFAULT_INTEGRATION_IMF_RES_PCPS_9_0_0[[#This Row],[TIME_PERIOD]]),2)</f>
        <v>04</v>
      </c>
      <c r="D53">
        <v>38.840909090909101</v>
      </c>
      <c r="E53">
        <v>52</v>
      </c>
    </row>
    <row r="54" spans="1:5" x14ac:dyDescent="0.25">
      <c r="A54" t="s">
        <v>283</v>
      </c>
      <c r="B54" t="str">
        <f>LEFT(TRIM(dataset_2025_11_17T13_30_33_170025752Z_DEFAULT_INTEGRATION_IMF_RES_PCPS_9_0_0[[#This Row],[TIME_PERIOD]]),4)</f>
        <v>2015</v>
      </c>
      <c r="C54" t="str">
        <f>RIGHT(TRIM(dataset_2025_11_17T13_30_33_170025752Z_DEFAULT_INTEGRATION_IMF_RES_PCPS_9_0_0[[#This Row],[TIME_PERIOD]]),2)</f>
        <v>05</v>
      </c>
      <c r="D54">
        <v>35.690476190476197</v>
      </c>
      <c r="E54">
        <v>53</v>
      </c>
    </row>
    <row r="55" spans="1:5" x14ac:dyDescent="0.25">
      <c r="A55" t="s">
        <v>284</v>
      </c>
      <c r="B55" t="str">
        <f>LEFT(TRIM(dataset_2025_11_17T13_30_33_170025752Z_DEFAULT_INTEGRATION_IMF_RES_PCPS_9_0_0[[#This Row],[TIME_PERIOD]]),4)</f>
        <v>2015</v>
      </c>
      <c r="C55" t="str">
        <f>RIGHT(TRIM(dataset_2025_11_17T13_30_33_170025752Z_DEFAULT_INTEGRATION_IMF_RES_PCPS_9_0_0[[#This Row],[TIME_PERIOD]]),2)</f>
        <v>06</v>
      </c>
      <c r="D55">
        <v>36.045454545454497</v>
      </c>
      <c r="E55">
        <v>54</v>
      </c>
    </row>
    <row r="56" spans="1:5" x14ac:dyDescent="0.25">
      <c r="A56" t="s">
        <v>285</v>
      </c>
      <c r="B56" t="str">
        <f>LEFT(TRIM(dataset_2025_11_17T13_30_33_170025752Z_DEFAULT_INTEGRATION_IMF_RES_PCPS_9_0_0[[#This Row],[TIME_PERIOD]]),4)</f>
        <v>2015</v>
      </c>
      <c r="C56" t="str">
        <f>RIGHT(TRIM(dataset_2025_11_17T13_30_33_170025752Z_DEFAULT_INTEGRATION_IMF_RES_PCPS_9_0_0[[#This Row],[TIME_PERIOD]]),2)</f>
        <v>07</v>
      </c>
      <c r="D56">
        <v>36.2826086956522</v>
      </c>
      <c r="E56">
        <v>55</v>
      </c>
    </row>
    <row r="57" spans="1:5" x14ac:dyDescent="0.25">
      <c r="A57" t="s">
        <v>286</v>
      </c>
      <c r="B57" t="str">
        <f>LEFT(TRIM(dataset_2025_11_17T13_30_33_170025752Z_DEFAULT_INTEGRATION_IMF_RES_PCPS_9_0_0[[#This Row],[TIME_PERIOD]]),4)</f>
        <v>2015</v>
      </c>
      <c r="C57" t="str">
        <f>RIGHT(TRIM(dataset_2025_11_17T13_30_33_170025752Z_DEFAULT_INTEGRATION_IMF_RES_PCPS_9_0_0[[#This Row],[TIME_PERIOD]]),2)</f>
        <v>08</v>
      </c>
      <c r="D57">
        <v>36.095238095238102</v>
      </c>
      <c r="E57">
        <v>56</v>
      </c>
    </row>
    <row r="58" spans="1:5" x14ac:dyDescent="0.25">
      <c r="A58" t="s">
        <v>287</v>
      </c>
      <c r="B58" t="str">
        <f>LEFT(TRIM(dataset_2025_11_17T13_30_33_170025752Z_DEFAULT_INTEGRATION_IMF_RES_PCPS_9_0_0[[#This Row],[TIME_PERIOD]]),4)</f>
        <v>2015</v>
      </c>
      <c r="C58" t="str">
        <f>RIGHT(TRIM(dataset_2025_11_17T13_30_33_170025752Z_DEFAULT_INTEGRATION_IMF_RES_PCPS_9_0_0[[#This Row],[TIME_PERIOD]]),2)</f>
        <v>09</v>
      </c>
      <c r="D58">
        <v>37.056818181818201</v>
      </c>
      <c r="E58">
        <v>57</v>
      </c>
    </row>
    <row r="59" spans="1:5" x14ac:dyDescent="0.25">
      <c r="A59" t="s">
        <v>288</v>
      </c>
      <c r="B59" t="str">
        <f>LEFT(TRIM(dataset_2025_11_17T13_30_33_170025752Z_DEFAULT_INTEGRATION_IMF_RES_PCPS_9_0_0[[#This Row],[TIME_PERIOD]]),4)</f>
        <v>2015</v>
      </c>
      <c r="C59" t="str">
        <f>RIGHT(TRIM(dataset_2025_11_17T13_30_33_170025752Z_DEFAULT_INTEGRATION_IMF_RES_PCPS_9_0_0[[#This Row],[TIME_PERIOD]]),2)</f>
        <v>10</v>
      </c>
      <c r="D59">
        <v>37.238636363636402</v>
      </c>
      <c r="E59">
        <v>58</v>
      </c>
    </row>
    <row r="60" spans="1:5" x14ac:dyDescent="0.25">
      <c r="A60" t="s">
        <v>289</v>
      </c>
      <c r="B60" t="str">
        <f>LEFT(TRIM(dataset_2025_11_17T13_30_33_170025752Z_DEFAULT_INTEGRATION_IMF_RES_PCPS_9_0_0[[#This Row],[TIME_PERIOD]]),4)</f>
        <v>2015</v>
      </c>
      <c r="C60" t="str">
        <f>RIGHT(TRIM(dataset_2025_11_17T13_30_33_170025752Z_DEFAULT_INTEGRATION_IMF_RES_PCPS_9_0_0[[#This Row],[TIME_PERIOD]]),2)</f>
        <v>11</v>
      </c>
      <c r="D60">
        <v>35.964285714285701</v>
      </c>
      <c r="E60">
        <v>59</v>
      </c>
    </row>
    <row r="61" spans="1:5" x14ac:dyDescent="0.25">
      <c r="A61" t="s">
        <v>290</v>
      </c>
      <c r="B61" t="str">
        <f>LEFT(TRIM(dataset_2025_11_17T13_30_33_170025752Z_DEFAULT_INTEGRATION_IMF_RES_PCPS_9_0_0[[#This Row],[TIME_PERIOD]]),4)</f>
        <v>2015</v>
      </c>
      <c r="C61" t="str">
        <f>RIGHT(TRIM(dataset_2025_11_17T13_30_33_170025752Z_DEFAULT_INTEGRATION_IMF_RES_PCPS_9_0_0[[#This Row],[TIME_PERIOD]]),2)</f>
        <v>12</v>
      </c>
      <c r="D61">
        <v>35.163043478260903</v>
      </c>
      <c r="E61">
        <v>60</v>
      </c>
    </row>
    <row r="62" spans="1:5" x14ac:dyDescent="0.25">
      <c r="A62" t="s">
        <v>291</v>
      </c>
      <c r="B62" t="str">
        <f>LEFT(TRIM(dataset_2025_11_17T13_30_33_170025752Z_DEFAULT_INTEGRATION_IMF_RES_PCPS_9_0_0[[#This Row],[TIME_PERIOD]]),4)</f>
        <v>2016</v>
      </c>
      <c r="C62" t="str">
        <f>RIGHT(TRIM(dataset_2025_11_17T13_30_33_170025752Z_DEFAULT_INTEGRATION_IMF_RES_PCPS_9_0_0[[#This Row],[TIME_PERIOD]]),2)</f>
        <v>01</v>
      </c>
      <c r="D62">
        <v>34.690476190476197</v>
      </c>
      <c r="E62">
        <v>61</v>
      </c>
    </row>
    <row r="63" spans="1:5" x14ac:dyDescent="0.25">
      <c r="A63" t="s">
        <v>292</v>
      </c>
      <c r="B63" t="str">
        <f>LEFT(TRIM(dataset_2025_11_17T13_30_33_170025752Z_DEFAULT_INTEGRATION_IMF_RES_PCPS_9_0_0[[#This Row],[TIME_PERIOD]]),4)</f>
        <v>2016</v>
      </c>
      <c r="C63" t="str">
        <f>RIGHT(TRIM(dataset_2025_11_17T13_30_33_170025752Z_DEFAULT_INTEGRATION_IMF_RES_PCPS_9_0_0[[#This Row],[TIME_PERIOD]]),2)</f>
        <v>02</v>
      </c>
      <c r="D63">
        <v>34.007142857142902</v>
      </c>
      <c r="E63">
        <v>62</v>
      </c>
    </row>
    <row r="64" spans="1:5" x14ac:dyDescent="0.25">
      <c r="A64" t="s">
        <v>293</v>
      </c>
      <c r="B64" t="str">
        <f>LEFT(TRIM(dataset_2025_11_17T13_30_33_170025752Z_DEFAULT_INTEGRATION_IMF_RES_PCPS_9_0_0[[#This Row],[TIME_PERIOD]]),4)</f>
        <v>2016</v>
      </c>
      <c r="C64" t="str">
        <f>RIGHT(TRIM(dataset_2025_11_17T13_30_33_170025752Z_DEFAULT_INTEGRATION_IMF_RES_PCPS_9_0_0[[#This Row],[TIME_PERIOD]]),2)</f>
        <v>03</v>
      </c>
      <c r="D64">
        <v>30.1065217391304</v>
      </c>
      <c r="E64">
        <v>63</v>
      </c>
    </row>
    <row r="65" spans="1:5" x14ac:dyDescent="0.25">
      <c r="A65" t="s">
        <v>294</v>
      </c>
      <c r="B65" t="str">
        <f>LEFT(TRIM(dataset_2025_11_17T13_30_33_170025752Z_DEFAULT_INTEGRATION_IMF_RES_PCPS_9_0_0[[#This Row],[TIME_PERIOD]]),4)</f>
        <v>2016</v>
      </c>
      <c r="C65" t="str">
        <f>RIGHT(TRIM(dataset_2025_11_17T13_30_33_170025752Z_DEFAULT_INTEGRATION_IMF_RES_PCPS_9_0_0[[#This Row],[TIME_PERIOD]]),2)</f>
        <v>04</v>
      </c>
      <c r="D65">
        <v>27.816666666666698</v>
      </c>
      <c r="E65">
        <v>64</v>
      </c>
    </row>
    <row r="66" spans="1:5" x14ac:dyDescent="0.25">
      <c r="A66" t="s">
        <v>295</v>
      </c>
      <c r="B66" t="str">
        <f>LEFT(TRIM(dataset_2025_11_17T13_30_33_170025752Z_DEFAULT_INTEGRATION_IMF_RES_PCPS_9_0_0[[#This Row],[TIME_PERIOD]]),4)</f>
        <v>2016</v>
      </c>
      <c r="C66" t="str">
        <f>RIGHT(TRIM(dataset_2025_11_17T13_30_33_170025752Z_DEFAULT_INTEGRATION_IMF_RES_PCPS_9_0_0[[#This Row],[TIME_PERIOD]]),2)</f>
        <v>05</v>
      </c>
      <c r="D66">
        <v>27.954545454545499</v>
      </c>
      <c r="E66">
        <v>65</v>
      </c>
    </row>
    <row r="67" spans="1:5" x14ac:dyDescent="0.25">
      <c r="A67" t="s">
        <v>296</v>
      </c>
      <c r="B67" t="str">
        <f>LEFT(TRIM(dataset_2025_11_17T13_30_33_170025752Z_DEFAULT_INTEGRATION_IMF_RES_PCPS_9_0_0[[#This Row],[TIME_PERIOD]]),4)</f>
        <v>2016</v>
      </c>
      <c r="C67" t="str">
        <f>RIGHT(TRIM(dataset_2025_11_17T13_30_33_170025752Z_DEFAULT_INTEGRATION_IMF_RES_PCPS_9_0_0[[#This Row],[TIME_PERIOD]]),2)</f>
        <v>06</v>
      </c>
      <c r="D67">
        <v>27.352272727272702</v>
      </c>
      <c r="E67">
        <v>66</v>
      </c>
    </row>
    <row r="68" spans="1:5" x14ac:dyDescent="0.25">
      <c r="A68" t="s">
        <v>297</v>
      </c>
      <c r="B68" t="str">
        <f>LEFT(TRIM(dataset_2025_11_17T13_30_33_170025752Z_DEFAULT_INTEGRATION_IMF_RES_PCPS_9_0_0[[#This Row],[TIME_PERIOD]]),4)</f>
        <v>2016</v>
      </c>
      <c r="C68" t="str">
        <f>RIGHT(TRIM(dataset_2025_11_17T13_30_33_170025752Z_DEFAULT_INTEGRATION_IMF_RES_PCPS_9_0_0[[#This Row],[TIME_PERIOD]]),2)</f>
        <v>07</v>
      </c>
      <c r="D68">
        <v>25.845238095238098</v>
      </c>
      <c r="E68">
        <v>67</v>
      </c>
    </row>
    <row r="69" spans="1:5" x14ac:dyDescent="0.25">
      <c r="A69" t="s">
        <v>298</v>
      </c>
      <c r="B69" t="str">
        <f>LEFT(TRIM(dataset_2025_11_17T13_30_33_170025752Z_DEFAULT_INTEGRATION_IMF_RES_PCPS_9_0_0[[#This Row],[TIME_PERIOD]]),4)</f>
        <v>2016</v>
      </c>
      <c r="C69" t="str">
        <f>RIGHT(TRIM(dataset_2025_11_17T13_30_33_170025752Z_DEFAULT_INTEGRATION_IMF_RES_PCPS_9_0_0[[#This Row],[TIME_PERIOD]]),2)</f>
        <v>08</v>
      </c>
      <c r="D69">
        <v>25.902173913043502</v>
      </c>
      <c r="E69">
        <v>68</v>
      </c>
    </row>
    <row r="70" spans="1:5" x14ac:dyDescent="0.25">
      <c r="A70" t="s">
        <v>299</v>
      </c>
      <c r="B70" t="str">
        <f>LEFT(TRIM(dataset_2025_11_17T13_30_33_170025752Z_DEFAULT_INTEGRATION_IMF_RES_PCPS_9_0_0[[#This Row],[TIME_PERIOD]]),4)</f>
        <v>2016</v>
      </c>
      <c r="C70" t="str">
        <f>RIGHT(TRIM(dataset_2025_11_17T13_30_33_170025752Z_DEFAULT_INTEGRATION_IMF_RES_PCPS_9_0_0[[#This Row],[TIME_PERIOD]]),2)</f>
        <v>09</v>
      </c>
      <c r="D70">
        <v>24.875</v>
      </c>
      <c r="E70">
        <v>69</v>
      </c>
    </row>
    <row r="71" spans="1:5" x14ac:dyDescent="0.25">
      <c r="A71" t="s">
        <v>300</v>
      </c>
      <c r="B71" t="str">
        <f>LEFT(TRIM(dataset_2025_11_17T13_30_33_170025752Z_DEFAULT_INTEGRATION_IMF_RES_PCPS_9_0_0[[#This Row],[TIME_PERIOD]]),4)</f>
        <v>2016</v>
      </c>
      <c r="C71" t="str">
        <f>RIGHT(TRIM(dataset_2025_11_17T13_30_33_170025752Z_DEFAULT_INTEGRATION_IMF_RES_PCPS_9_0_0[[#This Row],[TIME_PERIOD]]),2)</f>
        <v>10</v>
      </c>
      <c r="D71">
        <v>21.488095238095202</v>
      </c>
      <c r="E71">
        <v>70</v>
      </c>
    </row>
    <row r="72" spans="1:5" x14ac:dyDescent="0.25">
      <c r="A72" t="s">
        <v>301</v>
      </c>
      <c r="B72" t="str">
        <f>LEFT(TRIM(dataset_2025_11_17T13_30_33_170025752Z_DEFAULT_INTEGRATION_IMF_RES_PCPS_9_0_0[[#This Row],[TIME_PERIOD]]),4)</f>
        <v>2016</v>
      </c>
      <c r="C72" t="str">
        <f>RIGHT(TRIM(dataset_2025_11_17T13_30_33_170025752Z_DEFAULT_INTEGRATION_IMF_RES_PCPS_9_0_0[[#This Row],[TIME_PERIOD]]),2)</f>
        <v>11</v>
      </c>
      <c r="D72">
        <v>18.568181818181799</v>
      </c>
      <c r="E72">
        <v>71</v>
      </c>
    </row>
    <row r="73" spans="1:5" x14ac:dyDescent="0.25">
      <c r="A73" t="s">
        <v>302</v>
      </c>
      <c r="B73" t="str">
        <f>LEFT(TRIM(dataset_2025_11_17T13_30_33_170025752Z_DEFAULT_INTEGRATION_IMF_RES_PCPS_9_0_0[[#This Row],[TIME_PERIOD]]),4)</f>
        <v>2016</v>
      </c>
      <c r="C73" t="str">
        <f>RIGHT(TRIM(dataset_2025_11_17T13_30_33_170025752Z_DEFAULT_INTEGRATION_IMF_RES_PCPS_9_0_0[[#This Row],[TIME_PERIOD]]),2)</f>
        <v>12</v>
      </c>
      <c r="D73">
        <v>19.215909090909101</v>
      </c>
      <c r="E73">
        <v>72</v>
      </c>
    </row>
    <row r="74" spans="1:5" x14ac:dyDescent="0.25">
      <c r="A74" t="s">
        <v>303</v>
      </c>
      <c r="B74" t="str">
        <f>LEFT(TRIM(dataset_2025_11_17T13_30_33_170025752Z_DEFAULT_INTEGRATION_IMF_RES_PCPS_9_0_0[[#This Row],[TIME_PERIOD]]),4)</f>
        <v>2017</v>
      </c>
      <c r="C74" t="str">
        <f>RIGHT(TRIM(dataset_2025_11_17T13_30_33_170025752Z_DEFAULT_INTEGRATION_IMF_RES_PCPS_9_0_0[[#This Row],[TIME_PERIOD]]),2)</f>
        <v>01</v>
      </c>
      <c r="D74">
        <v>22.170454545454501</v>
      </c>
      <c r="E74">
        <v>73</v>
      </c>
    </row>
    <row r="75" spans="1:5" x14ac:dyDescent="0.25">
      <c r="A75" t="s">
        <v>304</v>
      </c>
      <c r="B75" t="str">
        <f>LEFT(TRIM(dataset_2025_11_17T13_30_33_170025752Z_DEFAULT_INTEGRATION_IMF_RES_PCPS_9_0_0[[#This Row],[TIME_PERIOD]]),4)</f>
        <v>2017</v>
      </c>
      <c r="C75" t="str">
        <f>RIGHT(TRIM(dataset_2025_11_17T13_30_33_170025752Z_DEFAULT_INTEGRATION_IMF_RES_PCPS_9_0_0[[#This Row],[TIME_PERIOD]]),2)</f>
        <v>02</v>
      </c>
      <c r="D75">
        <v>25.15</v>
      </c>
      <c r="E75">
        <v>74</v>
      </c>
    </row>
    <row r="76" spans="1:5" x14ac:dyDescent="0.25">
      <c r="A76" t="s">
        <v>305</v>
      </c>
      <c r="B76" t="str">
        <f>LEFT(TRIM(dataset_2025_11_17T13_30_33_170025752Z_DEFAULT_INTEGRATION_IMF_RES_PCPS_9_0_0[[#This Row],[TIME_PERIOD]]),4)</f>
        <v>2017</v>
      </c>
      <c r="C76" t="str">
        <f>RIGHT(TRIM(dataset_2025_11_17T13_30_33_170025752Z_DEFAULT_INTEGRATION_IMF_RES_PCPS_9_0_0[[#This Row],[TIME_PERIOD]]),2)</f>
        <v>03</v>
      </c>
      <c r="D76">
        <v>24.6413043478261</v>
      </c>
      <c r="E76">
        <v>75</v>
      </c>
    </row>
    <row r="77" spans="1:5" x14ac:dyDescent="0.25">
      <c r="A77" t="s">
        <v>306</v>
      </c>
      <c r="B77" t="str">
        <f>LEFT(TRIM(dataset_2025_11_17T13_30_33_170025752Z_DEFAULT_INTEGRATION_IMF_RES_PCPS_9_0_0[[#This Row],[TIME_PERIOD]]),4)</f>
        <v>2017</v>
      </c>
      <c r="C77" t="str">
        <f>RIGHT(TRIM(dataset_2025_11_17T13_30_33_170025752Z_DEFAULT_INTEGRATION_IMF_RES_PCPS_9_0_0[[#This Row],[TIME_PERIOD]]),2)</f>
        <v>04</v>
      </c>
      <c r="D77">
        <v>23.25</v>
      </c>
      <c r="E77">
        <v>76</v>
      </c>
    </row>
    <row r="78" spans="1:5" x14ac:dyDescent="0.25">
      <c r="A78" t="s">
        <v>307</v>
      </c>
      <c r="B78" t="str">
        <f>LEFT(TRIM(dataset_2025_11_17T13_30_33_170025752Z_DEFAULT_INTEGRATION_IMF_RES_PCPS_9_0_0[[#This Row],[TIME_PERIOD]]),4)</f>
        <v>2017</v>
      </c>
      <c r="C78" t="str">
        <f>RIGHT(TRIM(dataset_2025_11_17T13_30_33_170025752Z_DEFAULT_INTEGRATION_IMF_RES_PCPS_9_0_0[[#This Row],[TIME_PERIOD]]),2)</f>
        <v>05</v>
      </c>
      <c r="D78">
        <v>21.6413043478261</v>
      </c>
      <c r="E78">
        <v>77</v>
      </c>
    </row>
    <row r="79" spans="1:5" x14ac:dyDescent="0.25">
      <c r="A79" t="s">
        <v>308</v>
      </c>
      <c r="B79" t="str">
        <f>LEFT(TRIM(dataset_2025_11_17T13_30_33_170025752Z_DEFAULT_INTEGRATION_IMF_RES_PCPS_9_0_0[[#This Row],[TIME_PERIOD]]),4)</f>
        <v>2017</v>
      </c>
      <c r="C79" t="str">
        <f>RIGHT(TRIM(dataset_2025_11_17T13_30_33_170025752Z_DEFAULT_INTEGRATION_IMF_RES_PCPS_9_0_0[[#This Row],[TIME_PERIOD]]),2)</f>
        <v>06</v>
      </c>
      <c r="D79">
        <v>19.75</v>
      </c>
      <c r="E79">
        <v>78</v>
      </c>
    </row>
    <row r="80" spans="1:5" x14ac:dyDescent="0.25">
      <c r="A80" t="s">
        <v>309</v>
      </c>
      <c r="B80" t="str">
        <f>LEFT(TRIM(dataset_2025_11_17T13_30_33_170025752Z_DEFAULT_INTEGRATION_IMF_RES_PCPS_9_0_0[[#This Row],[TIME_PERIOD]]),4)</f>
        <v>2017</v>
      </c>
      <c r="C80" t="str">
        <f>RIGHT(TRIM(dataset_2025_11_17T13_30_33_170025752Z_DEFAULT_INTEGRATION_IMF_RES_PCPS_9_0_0[[#This Row],[TIME_PERIOD]]),2)</f>
        <v>07</v>
      </c>
      <c r="D80">
        <v>20.3642857142857</v>
      </c>
      <c r="E80">
        <v>79</v>
      </c>
    </row>
    <row r="81" spans="1:5" x14ac:dyDescent="0.25">
      <c r="A81" t="s">
        <v>310</v>
      </c>
      <c r="B81" t="str">
        <f>LEFT(TRIM(dataset_2025_11_17T13_30_33_170025752Z_DEFAULT_INTEGRATION_IMF_RES_PCPS_9_0_0[[#This Row],[TIME_PERIOD]]),4)</f>
        <v>2017</v>
      </c>
      <c r="C81" t="str">
        <f>RIGHT(TRIM(dataset_2025_11_17T13_30_33_170025752Z_DEFAULT_INTEGRATION_IMF_RES_PCPS_9_0_0[[#This Row],[TIME_PERIOD]]),2)</f>
        <v>08</v>
      </c>
      <c r="D81">
        <v>20.406521739130401</v>
      </c>
      <c r="E81">
        <v>80</v>
      </c>
    </row>
    <row r="82" spans="1:5" x14ac:dyDescent="0.25">
      <c r="A82" t="s">
        <v>311</v>
      </c>
      <c r="B82" t="str">
        <f>LEFT(TRIM(dataset_2025_11_17T13_30_33_170025752Z_DEFAULT_INTEGRATION_IMF_RES_PCPS_9_0_0[[#This Row],[TIME_PERIOD]]),4)</f>
        <v>2017</v>
      </c>
      <c r="C82" t="str">
        <f>RIGHT(TRIM(dataset_2025_11_17T13_30_33_170025752Z_DEFAULT_INTEGRATION_IMF_RES_PCPS_9_0_0[[#This Row],[TIME_PERIOD]]),2)</f>
        <v>09</v>
      </c>
      <c r="D82">
        <v>20.428571428571399</v>
      </c>
      <c r="E82">
        <v>81</v>
      </c>
    </row>
    <row r="83" spans="1:5" x14ac:dyDescent="0.25">
      <c r="A83" t="s">
        <v>312</v>
      </c>
      <c r="B83" t="str">
        <f>LEFT(TRIM(dataset_2025_11_17T13_30_33_170025752Z_DEFAULT_INTEGRATION_IMF_RES_PCPS_9_0_0[[#This Row],[TIME_PERIOD]]),4)</f>
        <v>2017</v>
      </c>
      <c r="C83" t="str">
        <f>RIGHT(TRIM(dataset_2025_11_17T13_30_33_170025752Z_DEFAULT_INTEGRATION_IMF_RES_PCPS_9_0_0[[#This Row],[TIME_PERIOD]]),2)</f>
        <v>10</v>
      </c>
      <c r="D83">
        <v>20.234090909090899</v>
      </c>
      <c r="E83">
        <v>82</v>
      </c>
    </row>
    <row r="84" spans="1:5" x14ac:dyDescent="0.25">
      <c r="A84" t="s">
        <v>313</v>
      </c>
      <c r="B84" t="str">
        <f>LEFT(TRIM(dataset_2025_11_17T13_30_33_170025752Z_DEFAULT_INTEGRATION_IMF_RES_PCPS_9_0_0[[#This Row],[TIME_PERIOD]]),4)</f>
        <v>2017</v>
      </c>
      <c r="C84" t="str">
        <f>RIGHT(TRIM(dataset_2025_11_17T13_30_33_170025752Z_DEFAULT_INTEGRATION_IMF_RES_PCPS_9_0_0[[#This Row],[TIME_PERIOD]]),2)</f>
        <v>11</v>
      </c>
      <c r="D84">
        <v>22.345454545454501</v>
      </c>
      <c r="E84">
        <v>83</v>
      </c>
    </row>
    <row r="85" spans="1:5" x14ac:dyDescent="0.25">
      <c r="A85" t="s">
        <v>314</v>
      </c>
      <c r="B85" t="str">
        <f>LEFT(TRIM(dataset_2025_11_17T13_30_33_170025752Z_DEFAULT_INTEGRATION_IMF_RES_PCPS_9_0_0[[#This Row],[TIME_PERIOD]]),4)</f>
        <v>2017</v>
      </c>
      <c r="C85" t="str">
        <f>RIGHT(TRIM(dataset_2025_11_17T13_30_33_170025752Z_DEFAULT_INTEGRATION_IMF_RES_PCPS_9_0_0[[#This Row],[TIME_PERIOD]]),2)</f>
        <v>12</v>
      </c>
      <c r="D85">
        <v>24.6904761904762</v>
      </c>
      <c r="E85">
        <v>84</v>
      </c>
    </row>
    <row r="86" spans="1:5" x14ac:dyDescent="0.25">
      <c r="A86" t="s">
        <v>315</v>
      </c>
      <c r="B86" t="str">
        <f>LEFT(TRIM(dataset_2025_11_17T13_30_33_170025752Z_DEFAULT_INTEGRATION_IMF_RES_PCPS_9_0_0[[#This Row],[TIME_PERIOD]]),4)</f>
        <v>2018</v>
      </c>
      <c r="C86" t="str">
        <f>RIGHT(TRIM(dataset_2025_11_17T13_30_33_170025752Z_DEFAULT_INTEGRATION_IMF_RES_PCPS_9_0_0[[#This Row],[TIME_PERIOD]]),2)</f>
        <v>01</v>
      </c>
      <c r="D86">
        <v>23.369565217391301</v>
      </c>
      <c r="E86">
        <v>85</v>
      </c>
    </row>
    <row r="87" spans="1:5" x14ac:dyDescent="0.25">
      <c r="A87" t="s">
        <v>316</v>
      </c>
      <c r="B87" t="str">
        <f>LEFT(TRIM(dataset_2025_11_17T13_30_33_170025752Z_DEFAULT_INTEGRATION_IMF_RES_PCPS_9_0_0[[#This Row],[TIME_PERIOD]]),4)</f>
        <v>2018</v>
      </c>
      <c r="C87" t="str">
        <f>RIGHT(TRIM(dataset_2025_11_17T13_30_33_170025752Z_DEFAULT_INTEGRATION_IMF_RES_PCPS_9_0_0[[#This Row],[TIME_PERIOD]]),2)</f>
        <v>02</v>
      </c>
      <c r="D87">
        <v>21.762499999999999</v>
      </c>
      <c r="E87">
        <v>86</v>
      </c>
    </row>
    <row r="88" spans="1:5" x14ac:dyDescent="0.25">
      <c r="A88" t="s">
        <v>317</v>
      </c>
      <c r="B88" t="str">
        <f>LEFT(TRIM(dataset_2025_11_17T13_30_33_170025752Z_DEFAULT_INTEGRATION_IMF_RES_PCPS_9_0_0[[#This Row],[TIME_PERIOD]]),4)</f>
        <v>2018</v>
      </c>
      <c r="C88" t="str">
        <f>RIGHT(TRIM(dataset_2025_11_17T13_30_33_170025752Z_DEFAULT_INTEGRATION_IMF_RES_PCPS_9_0_0[[#This Row],[TIME_PERIOD]]),2)</f>
        <v>03</v>
      </c>
      <c r="D88">
        <v>21.727272727272702</v>
      </c>
      <c r="E88">
        <v>87</v>
      </c>
    </row>
    <row r="89" spans="1:5" x14ac:dyDescent="0.25">
      <c r="A89" t="s">
        <v>318</v>
      </c>
      <c r="B89" t="str">
        <f>LEFT(TRIM(dataset_2025_11_17T13_30_33_170025752Z_DEFAULT_INTEGRATION_IMF_RES_PCPS_9_0_0[[#This Row],[TIME_PERIOD]]),4)</f>
        <v>2018</v>
      </c>
      <c r="C89" t="str">
        <f>RIGHT(TRIM(dataset_2025_11_17T13_30_33_170025752Z_DEFAULT_INTEGRATION_IMF_RES_PCPS_9_0_0[[#This Row],[TIME_PERIOD]]),2)</f>
        <v>04</v>
      </c>
      <c r="D89">
        <v>20.845238095238098</v>
      </c>
      <c r="E89">
        <v>88</v>
      </c>
    </row>
    <row r="90" spans="1:5" x14ac:dyDescent="0.25">
      <c r="A90" t="s">
        <v>319</v>
      </c>
      <c r="B90" t="str">
        <f>LEFT(TRIM(dataset_2025_11_17T13_30_33_170025752Z_DEFAULT_INTEGRATION_IMF_RES_PCPS_9_0_0[[#This Row],[TIME_PERIOD]]),4)</f>
        <v>2018</v>
      </c>
      <c r="C90" t="str">
        <f>RIGHT(TRIM(dataset_2025_11_17T13_30_33_170025752Z_DEFAULT_INTEGRATION_IMF_RES_PCPS_9_0_0[[#This Row],[TIME_PERIOD]]),2)</f>
        <v>05</v>
      </c>
      <c r="D90">
        <v>21.978260869565201</v>
      </c>
      <c r="E90">
        <v>89</v>
      </c>
    </row>
    <row r="91" spans="1:5" x14ac:dyDescent="0.25">
      <c r="A91" t="s">
        <v>320</v>
      </c>
      <c r="B91" t="str">
        <f>LEFT(TRIM(dataset_2025_11_17T13_30_33_170025752Z_DEFAULT_INTEGRATION_IMF_RES_PCPS_9_0_0[[#This Row],[TIME_PERIOD]]),4)</f>
        <v>2018</v>
      </c>
      <c r="C91" t="str">
        <f>RIGHT(TRIM(dataset_2025_11_17T13_30_33_170025752Z_DEFAULT_INTEGRATION_IMF_RES_PCPS_9_0_0[[#This Row],[TIME_PERIOD]]),2)</f>
        <v>06</v>
      </c>
      <c r="D91">
        <v>23.071428571428601</v>
      </c>
      <c r="E91">
        <v>90</v>
      </c>
    </row>
    <row r="92" spans="1:5" x14ac:dyDescent="0.25">
      <c r="A92" t="s">
        <v>321</v>
      </c>
      <c r="B92" t="str">
        <f>LEFT(TRIM(dataset_2025_11_17T13_30_33_170025752Z_DEFAULT_INTEGRATION_IMF_RES_PCPS_9_0_0[[#This Row],[TIME_PERIOD]]),4)</f>
        <v>2018</v>
      </c>
      <c r="C92" t="str">
        <f>RIGHT(TRIM(dataset_2025_11_17T13_30_33_170025752Z_DEFAULT_INTEGRATION_IMF_RES_PCPS_9_0_0[[#This Row],[TIME_PERIOD]]),2)</f>
        <v>07</v>
      </c>
      <c r="D92">
        <v>23.4159090909091</v>
      </c>
      <c r="E92">
        <v>91</v>
      </c>
    </row>
    <row r="93" spans="1:5" x14ac:dyDescent="0.25">
      <c r="A93" t="s">
        <v>322</v>
      </c>
      <c r="B93" t="str">
        <f>LEFT(TRIM(dataset_2025_11_17T13_30_33_170025752Z_DEFAULT_INTEGRATION_IMF_RES_PCPS_9_0_0[[#This Row],[TIME_PERIOD]]),4)</f>
        <v>2018</v>
      </c>
      <c r="C93" t="str">
        <f>RIGHT(TRIM(dataset_2025_11_17T13_30_33_170025752Z_DEFAULT_INTEGRATION_IMF_RES_PCPS_9_0_0[[#This Row],[TIME_PERIOD]]),2)</f>
        <v>08</v>
      </c>
      <c r="D93">
        <v>26.047826086956501</v>
      </c>
      <c r="E93">
        <v>92</v>
      </c>
    </row>
    <row r="94" spans="1:5" x14ac:dyDescent="0.25">
      <c r="A94" t="s">
        <v>323</v>
      </c>
      <c r="B94" t="str">
        <f>LEFT(TRIM(dataset_2025_11_17T13_30_33_170025752Z_DEFAULT_INTEGRATION_IMF_RES_PCPS_9_0_0[[#This Row],[TIME_PERIOD]]),4)</f>
        <v>2018</v>
      </c>
      <c r="C94" t="str">
        <f>RIGHT(TRIM(dataset_2025_11_17T13_30_33_170025752Z_DEFAULT_INTEGRATION_IMF_RES_PCPS_9_0_0[[#This Row],[TIME_PERIOD]]),2)</f>
        <v>09</v>
      </c>
      <c r="D94">
        <v>27.107500000000002</v>
      </c>
      <c r="E94">
        <v>93</v>
      </c>
    </row>
    <row r="95" spans="1:5" x14ac:dyDescent="0.25">
      <c r="A95" t="s">
        <v>324</v>
      </c>
      <c r="B95" t="str">
        <f>LEFT(TRIM(dataset_2025_11_17T13_30_33_170025752Z_DEFAULT_INTEGRATION_IMF_RES_PCPS_9_0_0[[#This Row],[TIME_PERIOD]]),4)</f>
        <v>2018</v>
      </c>
      <c r="C95" t="str">
        <f>RIGHT(TRIM(dataset_2025_11_17T13_30_33_170025752Z_DEFAULT_INTEGRATION_IMF_RES_PCPS_9_0_0[[#This Row],[TIME_PERIOD]]),2)</f>
        <v>10</v>
      </c>
      <c r="D95">
        <v>27.508695652173898</v>
      </c>
      <c r="E95">
        <v>94</v>
      </c>
    </row>
    <row r="96" spans="1:5" x14ac:dyDescent="0.25">
      <c r="A96" t="s">
        <v>325</v>
      </c>
      <c r="B96" t="str">
        <f>LEFT(TRIM(dataset_2025_11_17T13_30_33_170025752Z_DEFAULT_INTEGRATION_IMF_RES_PCPS_9_0_0[[#This Row],[TIME_PERIOD]]),4)</f>
        <v>2018</v>
      </c>
      <c r="C96" t="str">
        <f>RIGHT(TRIM(dataset_2025_11_17T13_30_33_170025752Z_DEFAULT_INTEGRATION_IMF_RES_PCPS_9_0_0[[#This Row],[TIME_PERIOD]]),2)</f>
        <v>11</v>
      </c>
      <c r="D96">
        <v>28.934090909090902</v>
      </c>
      <c r="E96">
        <v>95</v>
      </c>
    </row>
    <row r="97" spans="1:5" x14ac:dyDescent="0.25">
      <c r="A97" t="s">
        <v>326</v>
      </c>
      <c r="B97" t="str">
        <f>LEFT(TRIM(dataset_2025_11_17T13_30_33_170025752Z_DEFAULT_INTEGRATION_IMF_RES_PCPS_9_0_0[[#This Row],[TIME_PERIOD]]),4)</f>
        <v>2018</v>
      </c>
      <c r="C97" t="str">
        <f>RIGHT(TRIM(dataset_2025_11_17T13_30_33_170025752Z_DEFAULT_INTEGRATION_IMF_RES_PCPS_9_0_0[[#This Row],[TIME_PERIOD]]),2)</f>
        <v>12</v>
      </c>
      <c r="D97">
        <v>28.761904761904798</v>
      </c>
      <c r="E97">
        <v>96</v>
      </c>
    </row>
    <row r="98" spans="1:5" x14ac:dyDescent="0.25">
      <c r="A98" t="s">
        <v>327</v>
      </c>
      <c r="B98" t="str">
        <f>LEFT(TRIM(dataset_2025_11_17T13_30_33_170025752Z_DEFAULT_INTEGRATION_IMF_RES_PCPS_9_0_0[[#This Row],[TIME_PERIOD]]),4)</f>
        <v>2019</v>
      </c>
      <c r="C98" t="str">
        <f>RIGHT(TRIM(dataset_2025_11_17T13_30_33_170025752Z_DEFAULT_INTEGRATION_IMF_RES_PCPS_9_0_0[[#This Row],[TIME_PERIOD]]),2)</f>
        <v>01</v>
      </c>
      <c r="D98">
        <v>28.710869565217401</v>
      </c>
      <c r="E98">
        <v>97</v>
      </c>
    </row>
    <row r="99" spans="1:5" x14ac:dyDescent="0.25">
      <c r="A99" t="s">
        <v>328</v>
      </c>
      <c r="B99" t="str">
        <f>LEFT(TRIM(dataset_2025_11_17T13_30_33_170025752Z_DEFAULT_INTEGRATION_IMF_RES_PCPS_9_0_0[[#This Row],[TIME_PERIOD]]),4)</f>
        <v>2019</v>
      </c>
      <c r="C99" t="str">
        <f>RIGHT(TRIM(dataset_2025_11_17T13_30_33_170025752Z_DEFAULT_INTEGRATION_IMF_RES_PCPS_9_0_0[[#This Row],[TIME_PERIOD]]),2)</f>
        <v>02</v>
      </c>
      <c r="D99">
        <v>28.645</v>
      </c>
      <c r="E99">
        <v>98</v>
      </c>
    </row>
    <row r="100" spans="1:5" x14ac:dyDescent="0.25">
      <c r="A100" t="s">
        <v>329</v>
      </c>
      <c r="B100" t="str">
        <f>LEFT(TRIM(dataset_2025_11_17T13_30_33_170025752Z_DEFAULT_INTEGRATION_IMF_RES_PCPS_9_0_0[[#This Row],[TIME_PERIOD]]),4)</f>
        <v>2019</v>
      </c>
      <c r="C100" t="str">
        <f>RIGHT(TRIM(dataset_2025_11_17T13_30_33_170025752Z_DEFAULT_INTEGRATION_IMF_RES_PCPS_9_0_0[[#This Row],[TIME_PERIOD]]),2)</f>
        <v>03</v>
      </c>
      <c r="D100">
        <v>27.202380952380999</v>
      </c>
      <c r="E100">
        <v>99</v>
      </c>
    </row>
    <row r="101" spans="1:5" x14ac:dyDescent="0.25">
      <c r="A101" t="s">
        <v>330</v>
      </c>
      <c r="B101" t="str">
        <f>LEFT(TRIM(dataset_2025_11_17T13_30_33_170025752Z_DEFAULT_INTEGRATION_IMF_RES_PCPS_9_0_0[[#This Row],[TIME_PERIOD]]),4)</f>
        <v>2019</v>
      </c>
      <c r="C101" t="str">
        <f>RIGHT(TRIM(dataset_2025_11_17T13_30_33_170025752Z_DEFAULT_INTEGRATION_IMF_RES_PCPS_9_0_0[[#This Row],[TIME_PERIOD]]),2)</f>
        <v>04</v>
      </c>
      <c r="D101">
        <v>25.704545454545499</v>
      </c>
      <c r="E101">
        <v>100</v>
      </c>
    </row>
    <row r="102" spans="1:5" x14ac:dyDescent="0.25">
      <c r="A102" t="s">
        <v>331</v>
      </c>
      <c r="B102" t="str">
        <f>LEFT(TRIM(dataset_2025_11_17T13_30_33_170025752Z_DEFAULT_INTEGRATION_IMF_RES_PCPS_9_0_0[[#This Row],[TIME_PERIOD]]),4)</f>
        <v>2019</v>
      </c>
      <c r="C102" t="str">
        <f>RIGHT(TRIM(dataset_2025_11_17T13_30_33_170025752Z_DEFAULT_INTEGRATION_IMF_RES_PCPS_9_0_0[[#This Row],[TIME_PERIOD]]),2)</f>
        <v>05</v>
      </c>
      <c r="D102">
        <v>24.684782608695599</v>
      </c>
      <c r="E102">
        <v>101</v>
      </c>
    </row>
    <row r="103" spans="1:5" x14ac:dyDescent="0.25">
      <c r="A103" t="s">
        <v>332</v>
      </c>
      <c r="B103" t="str">
        <f>LEFT(TRIM(dataset_2025_11_17T13_30_33_170025752Z_DEFAULT_INTEGRATION_IMF_RES_PCPS_9_0_0[[#This Row],[TIME_PERIOD]]),4)</f>
        <v>2019</v>
      </c>
      <c r="C103" t="str">
        <f>RIGHT(TRIM(dataset_2025_11_17T13_30_33_170025752Z_DEFAULT_INTEGRATION_IMF_RES_PCPS_9_0_0[[#This Row],[TIME_PERIOD]]),2)</f>
        <v>06</v>
      </c>
      <c r="D103">
        <v>24.475000000000001</v>
      </c>
      <c r="E103">
        <v>102</v>
      </c>
    </row>
    <row r="104" spans="1:5" x14ac:dyDescent="0.25">
      <c r="A104" t="s">
        <v>333</v>
      </c>
      <c r="B104" t="str">
        <f>LEFT(TRIM(dataset_2025_11_17T13_30_33_170025752Z_DEFAULT_INTEGRATION_IMF_RES_PCPS_9_0_0[[#This Row],[TIME_PERIOD]]),4)</f>
        <v>2019</v>
      </c>
      <c r="C104" t="str">
        <f>RIGHT(TRIM(dataset_2025_11_17T13_30_33_170025752Z_DEFAULT_INTEGRATION_IMF_RES_PCPS_9_0_0[[#This Row],[TIME_PERIOD]]),2)</f>
        <v>07</v>
      </c>
      <c r="D104">
        <v>25.228260869565201</v>
      </c>
      <c r="E104">
        <v>103</v>
      </c>
    </row>
    <row r="105" spans="1:5" x14ac:dyDescent="0.25">
      <c r="A105" t="s">
        <v>334</v>
      </c>
      <c r="B105" t="str">
        <f>LEFT(TRIM(dataset_2025_11_17T13_30_33_170025752Z_DEFAULT_INTEGRATION_IMF_RES_PCPS_9_0_0[[#This Row],[TIME_PERIOD]]),4)</f>
        <v>2019</v>
      </c>
      <c r="C105" t="str">
        <f>RIGHT(TRIM(dataset_2025_11_17T13_30_33_170025752Z_DEFAULT_INTEGRATION_IMF_RES_PCPS_9_0_0[[#This Row],[TIME_PERIOD]]),2)</f>
        <v>08</v>
      </c>
      <c r="D105">
        <v>25.284090909090899</v>
      </c>
      <c r="E105">
        <v>104</v>
      </c>
    </row>
    <row r="106" spans="1:5" x14ac:dyDescent="0.25">
      <c r="A106" t="s">
        <v>335</v>
      </c>
      <c r="B106" t="str">
        <f>LEFT(TRIM(dataset_2025_11_17T13_30_33_170025752Z_DEFAULT_INTEGRATION_IMF_RES_PCPS_9_0_0[[#This Row],[TIME_PERIOD]]),4)</f>
        <v>2019</v>
      </c>
      <c r="C106" t="str">
        <f>RIGHT(TRIM(dataset_2025_11_17T13_30_33_170025752Z_DEFAULT_INTEGRATION_IMF_RES_PCPS_9_0_0[[#This Row],[TIME_PERIOD]]),2)</f>
        <v>09</v>
      </c>
      <c r="D106">
        <v>25.4119047619048</v>
      </c>
      <c r="E106">
        <v>105</v>
      </c>
    </row>
    <row r="107" spans="1:5" x14ac:dyDescent="0.25">
      <c r="A107" t="s">
        <v>336</v>
      </c>
      <c r="B107" t="str">
        <f>LEFT(TRIM(dataset_2025_11_17T13_30_33_170025752Z_DEFAULT_INTEGRATION_IMF_RES_PCPS_9_0_0[[#This Row],[TIME_PERIOD]]),4)</f>
        <v>2019</v>
      </c>
      <c r="C107" t="str">
        <f>RIGHT(TRIM(dataset_2025_11_17T13_30_33_170025752Z_DEFAULT_INTEGRATION_IMF_RES_PCPS_9_0_0[[#This Row],[TIME_PERIOD]]),2)</f>
        <v>10</v>
      </c>
      <c r="D107">
        <v>24.917391304347799</v>
      </c>
      <c r="E107">
        <v>106</v>
      </c>
    </row>
    <row r="108" spans="1:5" x14ac:dyDescent="0.25">
      <c r="A108" t="s">
        <v>337</v>
      </c>
      <c r="B108" t="str">
        <f>LEFT(TRIM(dataset_2025_11_17T13_30_33_170025752Z_DEFAULT_INTEGRATION_IMF_RES_PCPS_9_0_0[[#This Row],[TIME_PERIOD]]),4)</f>
        <v>2019</v>
      </c>
      <c r="C108" t="str">
        <f>RIGHT(TRIM(dataset_2025_11_17T13_30_33_170025752Z_DEFAULT_INTEGRATION_IMF_RES_PCPS_9_0_0[[#This Row],[TIME_PERIOD]]),2)</f>
        <v>11</v>
      </c>
      <c r="D108">
        <v>24.988095238095202</v>
      </c>
      <c r="E108">
        <v>107</v>
      </c>
    </row>
    <row r="109" spans="1:5" x14ac:dyDescent="0.25">
      <c r="A109" t="s">
        <v>338</v>
      </c>
      <c r="B109" t="str">
        <f>LEFT(TRIM(dataset_2025_11_17T13_30_33_170025752Z_DEFAULT_INTEGRATION_IMF_RES_PCPS_9_0_0[[#This Row],[TIME_PERIOD]]),4)</f>
        <v>2019</v>
      </c>
      <c r="C109" t="str">
        <f>RIGHT(TRIM(dataset_2025_11_17T13_30_33_170025752Z_DEFAULT_INTEGRATION_IMF_RES_PCPS_9_0_0[[#This Row],[TIME_PERIOD]]),2)</f>
        <v>12</v>
      </c>
      <c r="D109">
        <v>25.625</v>
      </c>
      <c r="E109">
        <v>108</v>
      </c>
    </row>
    <row r="110" spans="1:5" x14ac:dyDescent="0.25">
      <c r="A110" t="s">
        <v>339</v>
      </c>
      <c r="B110" t="str">
        <f>LEFT(TRIM(dataset_2025_11_17T13_30_33_170025752Z_DEFAULT_INTEGRATION_IMF_RES_PCPS_9_0_0[[#This Row],[TIME_PERIOD]]),4)</f>
        <v>2020</v>
      </c>
      <c r="C110" t="str">
        <f>RIGHT(TRIM(dataset_2025_11_17T13_30_33_170025752Z_DEFAULT_INTEGRATION_IMF_RES_PCPS_9_0_0[[#This Row],[TIME_PERIOD]]),2)</f>
        <v>01</v>
      </c>
      <c r="D110">
        <v>24.6413043478261</v>
      </c>
      <c r="E110">
        <v>109</v>
      </c>
    </row>
    <row r="111" spans="1:5" x14ac:dyDescent="0.25">
      <c r="A111" t="s">
        <v>340</v>
      </c>
      <c r="B111" t="str">
        <f>LEFT(TRIM(dataset_2025_11_17T13_30_33_170025752Z_DEFAULT_INTEGRATION_IMF_RES_PCPS_9_0_0[[#This Row],[TIME_PERIOD]]),4)</f>
        <v>2020</v>
      </c>
      <c r="C111" t="str">
        <f>RIGHT(TRIM(dataset_2025_11_17T13_30_33_170025752Z_DEFAULT_INTEGRATION_IMF_RES_PCPS_9_0_0[[#This Row],[TIME_PERIOD]]),2)</f>
        <v>02</v>
      </c>
      <c r="D111">
        <v>24.6875</v>
      </c>
      <c r="E111">
        <v>110</v>
      </c>
    </row>
    <row r="112" spans="1:5" x14ac:dyDescent="0.25">
      <c r="A112" t="s">
        <v>341</v>
      </c>
      <c r="B112" t="str">
        <f>LEFT(TRIM(dataset_2025_11_17T13_30_33_170025752Z_DEFAULT_INTEGRATION_IMF_RES_PCPS_9_0_0[[#This Row],[TIME_PERIOD]]),4)</f>
        <v>2020</v>
      </c>
      <c r="C112" t="str">
        <f>RIGHT(TRIM(dataset_2025_11_17T13_30_33_170025752Z_DEFAULT_INTEGRATION_IMF_RES_PCPS_9_0_0[[#This Row],[TIME_PERIOD]]),2)</f>
        <v>03</v>
      </c>
      <c r="D112">
        <v>24.6613636363636</v>
      </c>
      <c r="E112">
        <v>111</v>
      </c>
    </row>
    <row r="113" spans="1:5" x14ac:dyDescent="0.25">
      <c r="A113" t="s">
        <v>342</v>
      </c>
      <c r="B113" t="str">
        <f>LEFT(TRIM(dataset_2025_11_17T13_30_33_170025752Z_DEFAULT_INTEGRATION_IMF_RES_PCPS_9_0_0[[#This Row],[TIME_PERIOD]]),4)</f>
        <v>2020</v>
      </c>
      <c r="C113" t="str">
        <f>RIGHT(TRIM(dataset_2025_11_17T13_30_33_170025752Z_DEFAULT_INTEGRATION_IMF_RES_PCPS_9_0_0[[#This Row],[TIME_PERIOD]]),2)</f>
        <v>04</v>
      </c>
      <c r="D113">
        <v>29.9636363636364</v>
      </c>
      <c r="E113">
        <v>112</v>
      </c>
    </row>
    <row r="114" spans="1:5" x14ac:dyDescent="0.25">
      <c r="A114" t="s">
        <v>343</v>
      </c>
      <c r="B114" t="str">
        <f>LEFT(TRIM(dataset_2025_11_17T13_30_33_170025752Z_DEFAULT_INTEGRATION_IMF_RES_PCPS_9_0_0[[#This Row],[TIME_PERIOD]]),4)</f>
        <v>2020</v>
      </c>
      <c r="C114" t="str">
        <f>RIGHT(TRIM(dataset_2025_11_17T13_30_33_170025752Z_DEFAULT_INTEGRATION_IMF_RES_PCPS_9_0_0[[#This Row],[TIME_PERIOD]]),2)</f>
        <v>05</v>
      </c>
      <c r="D114">
        <v>33.511904761904802</v>
      </c>
      <c r="E114">
        <v>113</v>
      </c>
    </row>
    <row r="115" spans="1:5" x14ac:dyDescent="0.25">
      <c r="A115" t="s">
        <v>344</v>
      </c>
      <c r="B115" t="str">
        <f>LEFT(TRIM(dataset_2025_11_17T13_30_33_170025752Z_DEFAULT_INTEGRATION_IMF_RES_PCPS_9_0_0[[#This Row],[TIME_PERIOD]]),4)</f>
        <v>2020</v>
      </c>
      <c r="C115" t="str">
        <f>RIGHT(TRIM(dataset_2025_11_17T13_30_33_170025752Z_DEFAULT_INTEGRATION_IMF_RES_PCPS_9_0_0[[#This Row],[TIME_PERIOD]]),2)</f>
        <v>06</v>
      </c>
      <c r="D115">
        <v>33.088636363636397</v>
      </c>
      <c r="E115">
        <v>114</v>
      </c>
    </row>
    <row r="116" spans="1:5" x14ac:dyDescent="0.25">
      <c r="A116" t="s">
        <v>345</v>
      </c>
      <c r="B116" t="str">
        <f>LEFT(TRIM(dataset_2025_11_17T13_30_33_170025752Z_DEFAULT_INTEGRATION_IMF_RES_PCPS_9_0_0[[#This Row],[TIME_PERIOD]]),4)</f>
        <v>2020</v>
      </c>
      <c r="C116" t="str">
        <f>RIGHT(TRIM(dataset_2025_11_17T13_30_33_170025752Z_DEFAULT_INTEGRATION_IMF_RES_PCPS_9_0_0[[#This Row],[TIME_PERIOD]]),2)</f>
        <v>07</v>
      </c>
      <c r="D116">
        <v>32.360869565217399</v>
      </c>
      <c r="E116">
        <v>115</v>
      </c>
    </row>
    <row r="117" spans="1:5" x14ac:dyDescent="0.25">
      <c r="A117" t="s">
        <v>346</v>
      </c>
      <c r="B117" t="str">
        <f>LEFT(TRIM(dataset_2025_11_17T13_30_33_170025752Z_DEFAULT_INTEGRATION_IMF_RES_PCPS_9_0_0[[#This Row],[TIME_PERIOD]]),4)</f>
        <v>2020</v>
      </c>
      <c r="C117" t="str">
        <f>RIGHT(TRIM(dataset_2025_11_17T13_30_33_170025752Z_DEFAULT_INTEGRATION_IMF_RES_PCPS_9_0_0[[#This Row],[TIME_PERIOD]]),2)</f>
        <v>08</v>
      </c>
      <c r="D117">
        <v>31.376190476190501</v>
      </c>
      <c r="E117">
        <v>116</v>
      </c>
    </row>
    <row r="118" spans="1:5" x14ac:dyDescent="0.25">
      <c r="A118" t="s">
        <v>347</v>
      </c>
      <c r="B118" t="str">
        <f>LEFT(TRIM(dataset_2025_11_17T13_30_33_170025752Z_DEFAULT_INTEGRATION_IMF_RES_PCPS_9_0_0[[#This Row],[TIME_PERIOD]]),4)</f>
        <v>2020</v>
      </c>
      <c r="C118" t="str">
        <f>RIGHT(TRIM(dataset_2025_11_17T13_30_33_170025752Z_DEFAULT_INTEGRATION_IMF_RES_PCPS_9_0_0[[#This Row],[TIME_PERIOD]]),2)</f>
        <v>09</v>
      </c>
      <c r="D118">
        <v>29.981818181818198</v>
      </c>
      <c r="E118">
        <v>117</v>
      </c>
    </row>
    <row r="119" spans="1:5" x14ac:dyDescent="0.25">
      <c r="A119" t="s">
        <v>348</v>
      </c>
      <c r="B119" t="str">
        <f>LEFT(TRIM(dataset_2025_11_17T13_30_33_170025752Z_DEFAULT_INTEGRATION_IMF_RES_PCPS_9_0_0[[#This Row],[TIME_PERIOD]]),4)</f>
        <v>2020</v>
      </c>
      <c r="C119" t="str">
        <f>RIGHT(TRIM(dataset_2025_11_17T13_30_33_170025752Z_DEFAULT_INTEGRATION_IMF_RES_PCPS_9_0_0[[#This Row],[TIME_PERIOD]]),2)</f>
        <v>10</v>
      </c>
      <c r="D119">
        <v>29.636363636363601</v>
      </c>
      <c r="E119">
        <v>118</v>
      </c>
    </row>
    <row r="120" spans="1:5" x14ac:dyDescent="0.25">
      <c r="A120" t="s">
        <v>349</v>
      </c>
      <c r="B120" t="str">
        <f>LEFT(TRIM(dataset_2025_11_17T13_30_33_170025752Z_DEFAULT_INTEGRATION_IMF_RES_PCPS_9_0_0[[#This Row],[TIME_PERIOD]]),4)</f>
        <v>2020</v>
      </c>
      <c r="C120" t="str">
        <f>RIGHT(TRIM(dataset_2025_11_17T13_30_33_170025752Z_DEFAULT_INTEGRATION_IMF_RES_PCPS_9_0_0[[#This Row],[TIME_PERIOD]]),2)</f>
        <v>11</v>
      </c>
      <c r="D120">
        <v>29.485714285714302</v>
      </c>
      <c r="E120">
        <v>119</v>
      </c>
    </row>
    <row r="121" spans="1:5" x14ac:dyDescent="0.25">
      <c r="A121" t="s">
        <v>350</v>
      </c>
      <c r="B121" t="str">
        <f>LEFT(TRIM(dataset_2025_11_17T13_30_33_170025752Z_DEFAULT_INTEGRATION_IMF_RES_PCPS_9_0_0[[#This Row],[TIME_PERIOD]]),4)</f>
        <v>2020</v>
      </c>
      <c r="C121" t="str">
        <f>RIGHT(TRIM(dataset_2025_11_17T13_30_33_170025752Z_DEFAULT_INTEGRATION_IMF_RES_PCPS_9_0_0[[#This Row],[TIME_PERIOD]]),2)</f>
        <v>12</v>
      </c>
      <c r="D121">
        <v>29.773913043478299</v>
      </c>
      <c r="E121">
        <v>120</v>
      </c>
    </row>
    <row r="122" spans="1:5" x14ac:dyDescent="0.25">
      <c r="A122" t="s">
        <v>351</v>
      </c>
      <c r="B122" t="str">
        <f>LEFT(TRIM(dataset_2025_11_17T13_30_33_170025752Z_DEFAULT_INTEGRATION_IMF_RES_PCPS_9_0_0[[#This Row],[TIME_PERIOD]]),4)</f>
        <v>2021</v>
      </c>
      <c r="C122" t="str">
        <f>RIGHT(TRIM(dataset_2025_11_17T13_30_33_170025752Z_DEFAULT_INTEGRATION_IMF_RES_PCPS_9_0_0[[#This Row],[TIME_PERIOD]]),2)</f>
        <v>01</v>
      </c>
      <c r="D122">
        <v>29.8571428571429</v>
      </c>
      <c r="E122">
        <v>121</v>
      </c>
    </row>
    <row r="123" spans="1:5" x14ac:dyDescent="0.25">
      <c r="A123" t="s">
        <v>352</v>
      </c>
      <c r="B123" t="str">
        <f>LEFT(TRIM(dataset_2025_11_17T13_30_33_170025752Z_DEFAULT_INTEGRATION_IMF_RES_PCPS_9_0_0[[#This Row],[TIME_PERIOD]]),4)</f>
        <v>2021</v>
      </c>
      <c r="C123" t="str">
        <f>RIGHT(TRIM(dataset_2025_11_17T13_30_33_170025752Z_DEFAULT_INTEGRATION_IMF_RES_PCPS_9_0_0[[#This Row],[TIME_PERIOD]]),2)</f>
        <v>02</v>
      </c>
      <c r="D123">
        <v>28.662500000000001</v>
      </c>
      <c r="E123">
        <v>122</v>
      </c>
    </row>
    <row r="124" spans="1:5" x14ac:dyDescent="0.25">
      <c r="A124" t="s">
        <v>353</v>
      </c>
      <c r="B124" t="str">
        <f>LEFT(TRIM(dataset_2025_11_17T13_30_33_170025752Z_DEFAULT_INTEGRATION_IMF_RES_PCPS_9_0_0[[#This Row],[TIME_PERIOD]]),4)</f>
        <v>2021</v>
      </c>
      <c r="C124" t="str">
        <f>RIGHT(TRIM(dataset_2025_11_17T13_30_33_170025752Z_DEFAULT_INTEGRATION_IMF_RES_PCPS_9_0_0[[#This Row],[TIME_PERIOD]]),2)</f>
        <v>03</v>
      </c>
      <c r="D124">
        <v>28.334782608695701</v>
      </c>
      <c r="E124">
        <v>123</v>
      </c>
    </row>
    <row r="125" spans="1:5" x14ac:dyDescent="0.25">
      <c r="A125" t="s">
        <v>354</v>
      </c>
      <c r="B125" t="str">
        <f>LEFT(TRIM(dataset_2025_11_17T13_30_33_170025752Z_DEFAULT_INTEGRATION_IMF_RES_PCPS_9_0_0[[#This Row],[TIME_PERIOD]]),4)</f>
        <v>2021</v>
      </c>
      <c r="C125" t="str">
        <f>RIGHT(TRIM(dataset_2025_11_17T13_30_33_170025752Z_DEFAULT_INTEGRATION_IMF_RES_PCPS_9_0_0[[#This Row],[TIME_PERIOD]]),2)</f>
        <v>04</v>
      </c>
      <c r="D125">
        <v>29.7522727272727</v>
      </c>
      <c r="E125">
        <v>124</v>
      </c>
    </row>
    <row r="126" spans="1:5" x14ac:dyDescent="0.25">
      <c r="A126" t="s">
        <v>355</v>
      </c>
      <c r="B126" t="str">
        <f>LEFT(TRIM(dataset_2025_11_17T13_30_33_170025752Z_DEFAULT_INTEGRATION_IMF_RES_PCPS_9_0_0[[#This Row],[TIME_PERIOD]]),4)</f>
        <v>2021</v>
      </c>
      <c r="C126" t="str">
        <f>RIGHT(TRIM(dataset_2025_11_17T13_30_33_170025752Z_DEFAULT_INTEGRATION_IMF_RES_PCPS_9_0_0[[#This Row],[TIME_PERIOD]]),2)</f>
        <v>05</v>
      </c>
      <c r="D126">
        <v>30.257142857142899</v>
      </c>
      <c r="E126">
        <v>125</v>
      </c>
    </row>
    <row r="127" spans="1:5" x14ac:dyDescent="0.25">
      <c r="A127" t="s">
        <v>356</v>
      </c>
      <c r="B127" t="str">
        <f>LEFT(TRIM(dataset_2025_11_17T13_30_33_170025752Z_DEFAULT_INTEGRATION_IMF_RES_PCPS_9_0_0[[#This Row],[TIME_PERIOD]]),4)</f>
        <v>2021</v>
      </c>
      <c r="C127" t="str">
        <f>RIGHT(TRIM(dataset_2025_11_17T13_30_33_170025752Z_DEFAULT_INTEGRATION_IMF_RES_PCPS_9_0_0[[#This Row],[TIME_PERIOD]]),2)</f>
        <v>06</v>
      </c>
      <c r="D127">
        <v>32.142105263157902</v>
      </c>
      <c r="E127">
        <v>126</v>
      </c>
    </row>
    <row r="128" spans="1:5" x14ac:dyDescent="0.25">
      <c r="A128" t="s">
        <v>357</v>
      </c>
      <c r="B128" t="str">
        <f>LEFT(TRIM(dataset_2025_11_17T13_30_33_170025752Z_DEFAULT_INTEGRATION_IMF_RES_PCPS_9_0_0[[#This Row],[TIME_PERIOD]]),4)</f>
        <v>2021</v>
      </c>
      <c r="C128" t="str">
        <f>RIGHT(TRIM(dataset_2025_11_17T13_30_33_170025752Z_DEFAULT_INTEGRATION_IMF_RES_PCPS_9_0_0[[#This Row],[TIME_PERIOD]]),2)</f>
        <v>07</v>
      </c>
      <c r="D128">
        <v>32.338636363636397</v>
      </c>
      <c r="E128">
        <v>127</v>
      </c>
    </row>
    <row r="129" spans="1:5" x14ac:dyDescent="0.25">
      <c r="A129" t="s">
        <v>358</v>
      </c>
      <c r="B129" t="str">
        <f>LEFT(TRIM(dataset_2025_11_17T13_30_33_170025752Z_DEFAULT_INTEGRATION_IMF_RES_PCPS_9_0_0[[#This Row],[TIME_PERIOD]]),4)</f>
        <v>2021</v>
      </c>
      <c r="C129" t="str">
        <f>RIGHT(TRIM(dataset_2025_11_17T13_30_33_170025752Z_DEFAULT_INTEGRATION_IMF_RES_PCPS_9_0_0[[#This Row],[TIME_PERIOD]]),2)</f>
        <v>08</v>
      </c>
      <c r="D129">
        <v>32.147727272727302</v>
      </c>
      <c r="E129">
        <v>128</v>
      </c>
    </row>
    <row r="130" spans="1:5" x14ac:dyDescent="0.25">
      <c r="A130" t="s">
        <v>359</v>
      </c>
      <c r="B130" t="str">
        <f>LEFT(TRIM(dataset_2025_11_17T13_30_33_170025752Z_DEFAULT_INTEGRATION_IMF_RES_PCPS_9_0_0[[#This Row],[TIME_PERIOD]]),4)</f>
        <v>2021</v>
      </c>
      <c r="C130" t="str">
        <f>RIGHT(TRIM(dataset_2025_11_17T13_30_33_170025752Z_DEFAULT_INTEGRATION_IMF_RES_PCPS_9_0_0[[#This Row],[TIME_PERIOD]]),2)</f>
        <v>09</v>
      </c>
      <c r="D130">
        <v>45.078125</v>
      </c>
      <c r="E130">
        <v>129</v>
      </c>
    </row>
    <row r="131" spans="1:5" x14ac:dyDescent="0.25">
      <c r="A131" t="s">
        <v>360</v>
      </c>
      <c r="B131" t="str">
        <f>LEFT(TRIM(dataset_2025_11_17T13_30_33_170025752Z_DEFAULT_INTEGRATION_IMF_RES_PCPS_9_0_0[[#This Row],[TIME_PERIOD]]),4)</f>
        <v>2021</v>
      </c>
      <c r="C131" t="str">
        <f>RIGHT(TRIM(dataset_2025_11_17T13_30_33_170025752Z_DEFAULT_INTEGRATION_IMF_RES_PCPS_9_0_0[[#This Row],[TIME_PERIOD]]),2)</f>
        <v>10</v>
      </c>
      <c r="D131">
        <v>38.476190476190503</v>
      </c>
      <c r="E131">
        <v>130</v>
      </c>
    </row>
    <row r="132" spans="1:5" x14ac:dyDescent="0.25">
      <c r="A132" t="s">
        <v>361</v>
      </c>
      <c r="B132" t="str">
        <f>LEFT(TRIM(dataset_2025_11_17T13_30_33_170025752Z_DEFAULT_INTEGRATION_IMF_RES_PCPS_9_0_0[[#This Row],[TIME_PERIOD]]),4)</f>
        <v>2021</v>
      </c>
      <c r="C132" t="str">
        <f>RIGHT(TRIM(dataset_2025_11_17T13_30_33_170025752Z_DEFAULT_INTEGRATION_IMF_RES_PCPS_9_0_0[[#This Row],[TIME_PERIOD]]),2)</f>
        <v>11</v>
      </c>
      <c r="D132">
        <v>31.099584036972999</v>
      </c>
      <c r="E132">
        <v>131</v>
      </c>
    </row>
    <row r="133" spans="1:5" x14ac:dyDescent="0.25">
      <c r="A133" t="s">
        <v>362</v>
      </c>
      <c r="B133" t="str">
        <f>LEFT(TRIM(dataset_2025_11_17T13_30_33_170025752Z_DEFAULT_INTEGRATION_IMF_RES_PCPS_9_0_0[[#This Row],[TIME_PERIOD]]),4)</f>
        <v>2021</v>
      </c>
      <c r="C133" t="str">
        <f>RIGHT(TRIM(dataset_2025_11_17T13_30_33_170025752Z_DEFAULT_INTEGRATION_IMF_RES_PCPS_9_0_0[[#This Row],[TIME_PERIOD]]),2)</f>
        <v>12</v>
      </c>
      <c r="D133">
        <v>36.129303027444998</v>
      </c>
      <c r="E133">
        <v>132</v>
      </c>
    </row>
    <row r="134" spans="1:5" x14ac:dyDescent="0.25">
      <c r="A134" t="s">
        <v>363</v>
      </c>
      <c r="B134" t="str">
        <f>LEFT(TRIM(dataset_2025_11_17T13_30_33_170025752Z_DEFAULT_INTEGRATION_IMF_RES_PCPS_9_0_0[[#This Row],[TIME_PERIOD]]),4)</f>
        <v>2022</v>
      </c>
      <c r="C134" t="str">
        <f>RIGHT(TRIM(dataset_2025_11_17T13_30_33_170025752Z_DEFAULT_INTEGRATION_IMF_RES_PCPS_9_0_0[[#This Row],[TIME_PERIOD]]),2)</f>
        <v>01</v>
      </c>
      <c r="D134">
        <v>36.872921185827899</v>
      </c>
      <c r="E134">
        <v>133</v>
      </c>
    </row>
    <row r="135" spans="1:5" x14ac:dyDescent="0.25">
      <c r="A135" t="s">
        <v>364</v>
      </c>
      <c r="B135" t="str">
        <f>LEFT(TRIM(dataset_2025_11_17T13_30_33_170025752Z_DEFAULT_INTEGRATION_IMF_RES_PCPS_9_0_0[[#This Row],[TIME_PERIOD]]),4)</f>
        <v>2022</v>
      </c>
      <c r="C135" t="str">
        <f>RIGHT(TRIM(dataset_2025_11_17T13_30_33_170025752Z_DEFAULT_INTEGRATION_IMF_RES_PCPS_9_0_0[[#This Row],[TIME_PERIOD]]),2)</f>
        <v>02</v>
      </c>
      <c r="D135">
        <v>35.8319143167028</v>
      </c>
      <c r="E135">
        <v>134</v>
      </c>
    </row>
    <row r="136" spans="1:5" x14ac:dyDescent="0.25">
      <c r="A136" t="s">
        <v>365</v>
      </c>
      <c r="B136" t="str">
        <f>LEFT(TRIM(dataset_2025_11_17T13_30_33_170025752Z_DEFAULT_INTEGRATION_IMF_RES_PCPS_9_0_0[[#This Row],[TIME_PERIOD]]),4)</f>
        <v>2022</v>
      </c>
      <c r="C136" t="str">
        <f>RIGHT(TRIM(dataset_2025_11_17T13_30_33_170025752Z_DEFAULT_INTEGRATION_IMF_RES_PCPS_9_0_0[[#This Row],[TIME_PERIOD]]),2)</f>
        <v>03</v>
      </c>
      <c r="D136">
        <v>45.514701028010897</v>
      </c>
      <c r="E136">
        <v>135</v>
      </c>
    </row>
    <row r="137" spans="1:5" x14ac:dyDescent="0.25">
      <c r="A137" t="s">
        <v>366</v>
      </c>
      <c r="B137" t="str">
        <f>LEFT(TRIM(dataset_2025_11_17T13_30_33_170025752Z_DEFAULT_INTEGRATION_IMF_RES_PCPS_9_0_0[[#This Row],[TIME_PERIOD]]),4)</f>
        <v>2022</v>
      </c>
      <c r="C137" t="str">
        <f>RIGHT(TRIM(dataset_2025_11_17T13_30_33_170025752Z_DEFAULT_INTEGRATION_IMF_RES_PCPS_9_0_0[[#This Row],[TIME_PERIOD]]),2)</f>
        <v>04</v>
      </c>
      <c r="D137">
        <v>48.704730916227597</v>
      </c>
      <c r="E137">
        <v>136</v>
      </c>
    </row>
    <row r="138" spans="1:5" x14ac:dyDescent="0.25">
      <c r="A138" t="s">
        <v>367</v>
      </c>
      <c r="B138" t="str">
        <f>LEFT(TRIM(dataset_2025_11_17T13_30_33_170025752Z_DEFAULT_INTEGRATION_IMF_RES_PCPS_9_0_0[[#This Row],[TIME_PERIOD]]),4)</f>
        <v>2022</v>
      </c>
      <c r="C138" t="str">
        <f>RIGHT(TRIM(dataset_2025_11_17T13_30_33_170025752Z_DEFAULT_INTEGRATION_IMF_RES_PCPS_9_0_0[[#This Row],[TIME_PERIOD]]),2)</f>
        <v>05</v>
      </c>
      <c r="D138">
        <v>40.891626405048299</v>
      </c>
      <c r="E138">
        <v>137</v>
      </c>
    </row>
    <row r="139" spans="1:5" x14ac:dyDescent="0.25">
      <c r="A139" t="s">
        <v>368</v>
      </c>
      <c r="B139" t="str">
        <f>LEFT(TRIM(dataset_2025_11_17T13_30_33_170025752Z_DEFAULT_INTEGRATION_IMF_RES_PCPS_9_0_0[[#This Row],[TIME_PERIOD]]),4)</f>
        <v>2022</v>
      </c>
      <c r="C139" t="str">
        <f>RIGHT(TRIM(dataset_2025_11_17T13_30_33_170025752Z_DEFAULT_INTEGRATION_IMF_RES_PCPS_9_0_0[[#This Row],[TIME_PERIOD]]),2)</f>
        <v>06</v>
      </c>
      <c r="D139">
        <v>40.331517452179</v>
      </c>
      <c r="E139">
        <v>138</v>
      </c>
    </row>
    <row r="140" spans="1:5" x14ac:dyDescent="0.25">
      <c r="A140" t="s">
        <v>369</v>
      </c>
      <c r="B140" t="str">
        <f>LEFT(TRIM(dataset_2025_11_17T13_30_33_170025752Z_DEFAULT_INTEGRATION_IMF_RES_PCPS_9_0_0[[#This Row],[TIME_PERIOD]]),4)</f>
        <v>2022</v>
      </c>
      <c r="C140" t="str">
        <f>RIGHT(TRIM(dataset_2025_11_17T13_30_33_170025752Z_DEFAULT_INTEGRATION_IMF_RES_PCPS_9_0_0[[#This Row],[TIME_PERIOD]]),2)</f>
        <v>07</v>
      </c>
      <c r="D140">
        <v>38.939159177770797</v>
      </c>
      <c r="E140">
        <v>139</v>
      </c>
    </row>
    <row r="141" spans="1:5" x14ac:dyDescent="0.25">
      <c r="A141" t="s">
        <v>370</v>
      </c>
      <c r="B141" t="str">
        <f>LEFT(TRIM(dataset_2025_11_17T13_30_33_170025752Z_DEFAULT_INTEGRATION_IMF_RES_PCPS_9_0_0[[#This Row],[TIME_PERIOD]]),4)</f>
        <v>2022</v>
      </c>
      <c r="C141" t="str">
        <f>RIGHT(TRIM(dataset_2025_11_17T13_30_33_170025752Z_DEFAULT_INTEGRATION_IMF_RES_PCPS_9_0_0[[#This Row],[TIME_PERIOD]]),2)</f>
        <v>08</v>
      </c>
      <c r="D141">
        <v>39.802308308969103</v>
      </c>
      <c r="E141">
        <v>140</v>
      </c>
    </row>
    <row r="142" spans="1:5" x14ac:dyDescent="0.25">
      <c r="A142" t="s">
        <v>371</v>
      </c>
      <c r="B142" t="str">
        <f>LEFT(TRIM(dataset_2025_11_17T13_30_33_170025752Z_DEFAULT_INTEGRATION_IMF_RES_PCPS_9_0_0[[#This Row],[TIME_PERIOD]]),4)</f>
        <v>2022</v>
      </c>
      <c r="C142" t="str">
        <f>RIGHT(TRIM(dataset_2025_11_17T13_30_33_170025752Z_DEFAULT_INTEGRATION_IMF_RES_PCPS_9_0_0[[#This Row],[TIME_PERIOD]]),2)</f>
        <v>09</v>
      </c>
      <c r="D142">
        <v>40.950391934529598</v>
      </c>
      <c r="E142">
        <v>141</v>
      </c>
    </row>
    <row r="143" spans="1:5" x14ac:dyDescent="0.25">
      <c r="A143" t="s">
        <v>372</v>
      </c>
      <c r="B143" t="str">
        <f>LEFT(TRIM(dataset_2025_11_17T13_30_33_170025752Z_DEFAULT_INTEGRATION_IMF_RES_PCPS_9_0_0[[#This Row],[TIME_PERIOD]]),4)</f>
        <v>2022</v>
      </c>
      <c r="C143" t="str">
        <f>RIGHT(TRIM(dataset_2025_11_17T13_30_33_170025752Z_DEFAULT_INTEGRATION_IMF_RES_PCPS_9_0_0[[#This Row],[TIME_PERIOD]]),2)</f>
        <v>10</v>
      </c>
      <c r="D143">
        <v>41.303597252349903</v>
      </c>
      <c r="E143">
        <v>142</v>
      </c>
    </row>
    <row r="144" spans="1:5" x14ac:dyDescent="0.25">
      <c r="A144" t="s">
        <v>373</v>
      </c>
      <c r="B144" t="str">
        <f>LEFT(TRIM(dataset_2025_11_17T13_30_33_170025752Z_DEFAULT_INTEGRATION_IMF_RES_PCPS_9_0_0[[#This Row],[TIME_PERIOD]]),4)</f>
        <v>2022</v>
      </c>
      <c r="C144" t="str">
        <f>RIGHT(TRIM(dataset_2025_11_17T13_30_33_170025752Z_DEFAULT_INTEGRATION_IMF_RES_PCPS_9_0_0[[#This Row],[TIME_PERIOD]]),2)</f>
        <v>11</v>
      </c>
      <c r="D144">
        <v>40.954064780122202</v>
      </c>
      <c r="E144">
        <v>143</v>
      </c>
    </row>
    <row r="145" spans="1:5" x14ac:dyDescent="0.25">
      <c r="A145" t="s">
        <v>374</v>
      </c>
      <c r="B145" t="str">
        <f>LEFT(TRIM(dataset_2025_11_17T13_30_33_170025752Z_DEFAULT_INTEGRATION_IMF_RES_PCPS_9_0_0[[#This Row],[TIME_PERIOD]]),4)</f>
        <v>2022</v>
      </c>
      <c r="C145" t="str">
        <f>RIGHT(TRIM(dataset_2025_11_17T13_30_33_170025752Z_DEFAULT_INTEGRATION_IMF_RES_PCPS_9_0_0[[#This Row],[TIME_PERIOD]]),2)</f>
        <v>12</v>
      </c>
      <c r="D145">
        <v>39.178243936107201</v>
      </c>
      <c r="E145">
        <v>144</v>
      </c>
    </row>
    <row r="146" spans="1:5" x14ac:dyDescent="0.25">
      <c r="A146" t="s">
        <v>375</v>
      </c>
      <c r="B146" t="str">
        <f>LEFT(TRIM(dataset_2025_11_17T13_30_33_170025752Z_DEFAULT_INTEGRATION_IMF_RES_PCPS_9_0_0[[#This Row],[TIME_PERIOD]]),4)</f>
        <v>2023</v>
      </c>
      <c r="C146" t="str">
        <f>RIGHT(TRIM(dataset_2025_11_17T13_30_33_170025752Z_DEFAULT_INTEGRATION_IMF_RES_PCPS_9_0_0[[#This Row],[TIME_PERIOD]]),2)</f>
        <v>01</v>
      </c>
      <c r="D146">
        <v>40.063399723920199</v>
      </c>
      <c r="E146">
        <v>145</v>
      </c>
    </row>
    <row r="147" spans="1:5" x14ac:dyDescent="0.25">
      <c r="A147" t="s">
        <v>376</v>
      </c>
      <c r="B147" t="str">
        <f>LEFT(TRIM(dataset_2025_11_17T13_30_33_170025752Z_DEFAULT_INTEGRATION_IMF_RES_PCPS_9_0_0[[#This Row],[TIME_PERIOD]]),4)</f>
        <v>2023</v>
      </c>
      <c r="C147" t="str">
        <f>RIGHT(TRIM(dataset_2025_11_17T13_30_33_170025752Z_DEFAULT_INTEGRATION_IMF_RES_PCPS_9_0_0[[#This Row],[TIME_PERIOD]]),2)</f>
        <v>02</v>
      </c>
      <c r="D147">
        <v>41.314370932754798</v>
      </c>
      <c r="E147">
        <v>146</v>
      </c>
    </row>
    <row r="148" spans="1:5" x14ac:dyDescent="0.25">
      <c r="A148" t="s">
        <v>377</v>
      </c>
      <c r="B148" t="str">
        <f>LEFT(TRIM(dataset_2025_11_17T13_30_33_170025752Z_DEFAULT_INTEGRATION_IMF_RES_PCPS_9_0_0[[#This Row],[TIME_PERIOD]]),4)</f>
        <v>2023</v>
      </c>
      <c r="C148" t="str">
        <f>RIGHT(TRIM(dataset_2025_11_17T13_30_33_170025752Z_DEFAULT_INTEGRATION_IMF_RES_PCPS_9_0_0[[#This Row],[TIME_PERIOD]]),2)</f>
        <v>03</v>
      </c>
      <c r="D148">
        <v>40.741523004909098</v>
      </c>
      <c r="E148">
        <v>147</v>
      </c>
    </row>
    <row r="149" spans="1:5" x14ac:dyDescent="0.25">
      <c r="A149" t="s">
        <v>378</v>
      </c>
      <c r="B149" t="str">
        <f>LEFT(TRIM(dataset_2025_11_17T13_30_33_170025752Z_DEFAULT_INTEGRATION_IMF_RES_PCPS_9_0_0[[#This Row],[TIME_PERIOD]]),4)</f>
        <v>2023</v>
      </c>
      <c r="C149" t="str">
        <f>RIGHT(TRIM(dataset_2025_11_17T13_30_33_170025752Z_DEFAULT_INTEGRATION_IMF_RES_PCPS_9_0_0[[#This Row],[TIME_PERIOD]]),2)</f>
        <v>04</v>
      </c>
      <c r="D149">
        <v>41.762017353579097</v>
      </c>
      <c r="E149">
        <v>148</v>
      </c>
    </row>
    <row r="150" spans="1:5" x14ac:dyDescent="0.25">
      <c r="A150" t="s">
        <v>379</v>
      </c>
      <c r="B150" t="str">
        <f>LEFT(TRIM(dataset_2025_11_17T13_30_33_170025752Z_DEFAULT_INTEGRATION_IMF_RES_PCPS_9_0_0[[#This Row],[TIME_PERIOD]]),4)</f>
        <v>2023</v>
      </c>
      <c r="C150" t="str">
        <f>RIGHT(TRIM(dataset_2025_11_17T13_30_33_170025752Z_DEFAULT_INTEGRATION_IMF_RES_PCPS_9_0_0[[#This Row],[TIME_PERIOD]]),2)</f>
        <v>05</v>
      </c>
      <c r="D150">
        <v>43.462666226539497</v>
      </c>
      <c r="E150">
        <v>149</v>
      </c>
    </row>
    <row r="151" spans="1:5" x14ac:dyDescent="0.25">
      <c r="A151" t="s">
        <v>380</v>
      </c>
      <c r="B151" t="str">
        <f>LEFT(TRIM(dataset_2025_11_17T13_30_33_170025752Z_DEFAULT_INTEGRATION_IMF_RES_PCPS_9_0_0[[#This Row],[TIME_PERIOD]]),4)</f>
        <v>2023</v>
      </c>
      <c r="C151" t="str">
        <f>RIGHT(TRIM(dataset_2025_11_17T13_30_33_170025752Z_DEFAULT_INTEGRATION_IMF_RES_PCPS_9_0_0[[#This Row],[TIME_PERIOD]]),2)</f>
        <v>06</v>
      </c>
      <c r="D151">
        <v>45.700483139420101</v>
      </c>
      <c r="E151">
        <v>150</v>
      </c>
    </row>
    <row r="152" spans="1:5" x14ac:dyDescent="0.25">
      <c r="A152" t="s">
        <v>381</v>
      </c>
      <c r="B152" t="str">
        <f>LEFT(TRIM(dataset_2025_11_17T13_30_33_170025752Z_DEFAULT_INTEGRATION_IMF_RES_PCPS_9_0_0[[#This Row],[TIME_PERIOD]]),4)</f>
        <v>2023</v>
      </c>
      <c r="C152" t="str">
        <f>RIGHT(TRIM(dataset_2025_11_17T13_30_33_170025752Z_DEFAULT_INTEGRATION_IMF_RES_PCPS_9_0_0[[#This Row],[TIME_PERIOD]]),2)</f>
        <v>07</v>
      </c>
      <c r="D152">
        <v>45.247533829149802</v>
      </c>
      <c r="E152">
        <v>151</v>
      </c>
    </row>
    <row r="153" spans="1:5" x14ac:dyDescent="0.25">
      <c r="A153" t="s">
        <v>382</v>
      </c>
      <c r="B153" t="str">
        <f>LEFT(TRIM(dataset_2025_11_17T13_30_33_170025752Z_DEFAULT_INTEGRATION_IMF_RES_PCPS_9_0_0[[#This Row],[TIME_PERIOD]]),4)</f>
        <v>2023</v>
      </c>
      <c r="C153" t="str">
        <f>RIGHT(TRIM(dataset_2025_11_17T13_30_33_170025752Z_DEFAULT_INTEGRATION_IMF_RES_PCPS_9_0_0[[#This Row],[TIME_PERIOD]]),2)</f>
        <v>08</v>
      </c>
      <c r="D153">
        <v>46.377180986513103</v>
      </c>
      <c r="E153">
        <v>152</v>
      </c>
    </row>
    <row r="154" spans="1:5" x14ac:dyDescent="0.25">
      <c r="A154" t="s">
        <v>383</v>
      </c>
      <c r="B154" t="str">
        <f>LEFT(TRIM(dataset_2025_11_17T13_30_33_170025752Z_DEFAULT_INTEGRATION_IMF_RES_PCPS_9_0_0[[#This Row],[TIME_PERIOD]]),4)</f>
        <v>2023</v>
      </c>
      <c r="C154" t="str">
        <f>RIGHT(TRIM(dataset_2025_11_17T13_30_33_170025752Z_DEFAULT_INTEGRATION_IMF_RES_PCPS_9_0_0[[#This Row],[TIME_PERIOD]]),2)</f>
        <v>09</v>
      </c>
      <c r="D154">
        <v>53.202742485280297</v>
      </c>
      <c r="E154">
        <v>153</v>
      </c>
    </row>
    <row r="155" spans="1:5" x14ac:dyDescent="0.25">
      <c r="A155" t="s">
        <v>384</v>
      </c>
      <c r="B155" t="str">
        <f>LEFT(TRIM(dataset_2025_11_17T13_30_33_170025752Z_DEFAULT_INTEGRATION_IMF_RES_PCPS_9_0_0[[#This Row],[TIME_PERIOD]]),4)</f>
        <v>2023</v>
      </c>
      <c r="C155" t="str">
        <f>RIGHT(TRIM(dataset_2025_11_17T13_30_33_170025752Z_DEFAULT_INTEGRATION_IMF_RES_PCPS_9_0_0[[#This Row],[TIME_PERIOD]]),2)</f>
        <v>10</v>
      </c>
      <c r="D155">
        <v>57.646413429303799</v>
      </c>
      <c r="E155">
        <v>154</v>
      </c>
    </row>
    <row r="156" spans="1:5" x14ac:dyDescent="0.25">
      <c r="A156" t="s">
        <v>385</v>
      </c>
      <c r="B156" t="str">
        <f>LEFT(TRIM(dataset_2025_11_17T13_30_33_170025752Z_DEFAULT_INTEGRATION_IMF_RES_PCPS_9_0_0[[#This Row],[TIME_PERIOD]]),4)</f>
        <v>2023</v>
      </c>
      <c r="C156" t="str">
        <f>RIGHT(TRIM(dataset_2025_11_17T13_30_33_170025752Z_DEFAULT_INTEGRATION_IMF_RES_PCPS_9_0_0[[#This Row],[TIME_PERIOD]]),2)</f>
        <v>11</v>
      </c>
      <c r="D156">
        <v>62.285951981857501</v>
      </c>
      <c r="E156">
        <v>155</v>
      </c>
    </row>
    <row r="157" spans="1:5" x14ac:dyDescent="0.25">
      <c r="A157" t="s">
        <v>386</v>
      </c>
      <c r="B157" t="str">
        <f>LEFT(TRIM(dataset_2025_11_17T13_30_33_170025752Z_DEFAULT_INTEGRATION_IMF_RES_PCPS_9_0_0[[#This Row],[TIME_PERIOD]]),4)</f>
        <v>2023</v>
      </c>
      <c r="C157" t="str">
        <f>RIGHT(TRIM(dataset_2025_11_17T13_30_33_170025752Z_DEFAULT_INTEGRATION_IMF_RES_PCPS_9_0_0[[#This Row],[TIME_PERIOD]]),2)</f>
        <v>12</v>
      </c>
      <c r="D157">
        <v>70.059704575973399</v>
      </c>
      <c r="E157">
        <v>156</v>
      </c>
    </row>
    <row r="158" spans="1:5" x14ac:dyDescent="0.25">
      <c r="A158" t="s">
        <v>387</v>
      </c>
      <c r="B158" t="str">
        <f>LEFT(TRIM(dataset_2025_11_17T13_30_33_170025752Z_DEFAULT_INTEGRATION_IMF_RES_PCPS_9_0_0[[#This Row],[TIME_PERIOD]]),4)</f>
        <v>2024</v>
      </c>
      <c r="C158" t="str">
        <f>RIGHT(TRIM(dataset_2025_11_17T13_30_33_170025752Z_DEFAULT_INTEGRATION_IMF_RES_PCPS_9_0_0[[#This Row],[TIME_PERIOD]]),2)</f>
        <v>01</v>
      </c>
      <c r="D158">
        <v>80.363458455154102</v>
      </c>
      <c r="E158">
        <v>157</v>
      </c>
    </row>
    <row r="159" spans="1:5" x14ac:dyDescent="0.25">
      <c r="A159" t="s">
        <v>388</v>
      </c>
      <c r="B159" t="str">
        <f>LEFT(TRIM(dataset_2025_11_17T13_30_33_170025752Z_DEFAULT_INTEGRATION_IMF_RES_PCPS_9_0_0[[#This Row],[TIME_PERIOD]]),4)</f>
        <v>2024</v>
      </c>
      <c r="C159" t="str">
        <f>RIGHT(TRIM(dataset_2025_11_17T13_30_33_170025752Z_DEFAULT_INTEGRATION_IMF_RES_PCPS_9_0_0[[#This Row],[TIME_PERIOD]]),2)</f>
        <v>02</v>
      </c>
      <c r="D159">
        <v>81.318200599111506</v>
      </c>
      <c r="E159">
        <v>158</v>
      </c>
    </row>
    <row r="160" spans="1:5" x14ac:dyDescent="0.25">
      <c r="A160" t="s">
        <v>389</v>
      </c>
      <c r="B160" t="str">
        <f>LEFT(TRIM(dataset_2025_11_17T13_30_33_170025752Z_DEFAULT_INTEGRATION_IMF_RES_PCPS_9_0_0[[#This Row],[TIME_PERIOD]]),4)</f>
        <v>2024</v>
      </c>
      <c r="C160" t="str">
        <f>RIGHT(TRIM(dataset_2025_11_17T13_30_33_170025752Z_DEFAULT_INTEGRATION_IMF_RES_PCPS_9_0_0[[#This Row],[TIME_PERIOD]]),2)</f>
        <v>03</v>
      </c>
      <c r="D160">
        <v>71.814275384774206</v>
      </c>
      <c r="E160">
        <v>159</v>
      </c>
    </row>
    <row r="161" spans="1:5" x14ac:dyDescent="0.25">
      <c r="A161" t="s">
        <v>390</v>
      </c>
      <c r="B161" t="str">
        <f>LEFT(TRIM(dataset_2025_11_17T13_30_33_170025752Z_DEFAULT_INTEGRATION_IMF_RES_PCPS_9_0_0[[#This Row],[TIME_PERIOD]]),4)</f>
        <v>2024</v>
      </c>
      <c r="C161" t="str">
        <f>RIGHT(TRIM(dataset_2025_11_17T13_30_33_170025752Z_DEFAULT_INTEGRATION_IMF_RES_PCPS_9_0_0[[#This Row],[TIME_PERIOD]]),2)</f>
        <v>04</v>
      </c>
      <c r="D161">
        <v>71.638853283375894</v>
      </c>
      <c r="E161">
        <v>160</v>
      </c>
    </row>
    <row r="162" spans="1:5" x14ac:dyDescent="0.25">
      <c r="A162" t="s">
        <v>391</v>
      </c>
      <c r="B162" t="str">
        <f>LEFT(TRIM(dataset_2025_11_17T13_30_33_170025752Z_DEFAULT_INTEGRATION_IMF_RES_PCPS_9_0_0[[#This Row],[TIME_PERIOD]]),4)</f>
        <v>2024</v>
      </c>
      <c r="C162" t="str">
        <f>RIGHT(TRIM(dataset_2025_11_17T13_30_33_170025752Z_DEFAULT_INTEGRATION_IMF_RES_PCPS_9_0_0[[#This Row],[TIME_PERIOD]]),2)</f>
        <v>05</v>
      </c>
      <c r="D162">
        <v>73.950190983683797</v>
      </c>
      <c r="E162">
        <v>161</v>
      </c>
    </row>
    <row r="163" spans="1:5" x14ac:dyDescent="0.25">
      <c r="A163" t="s">
        <v>392</v>
      </c>
      <c r="B163" t="str">
        <f>LEFT(TRIM(dataset_2025_11_17T13_30_33_170025752Z_DEFAULT_INTEGRATION_IMF_RES_PCPS_9_0_0[[#This Row],[TIME_PERIOD]]),4)</f>
        <v>2024</v>
      </c>
      <c r="C163" t="str">
        <f>RIGHT(TRIM(dataset_2025_11_17T13_30_33_170025752Z_DEFAULT_INTEGRATION_IMF_RES_PCPS_9_0_0[[#This Row],[TIME_PERIOD]]),2)</f>
        <v>06</v>
      </c>
      <c r="D163">
        <v>69.187228850325297</v>
      </c>
      <c r="E163">
        <v>162</v>
      </c>
    </row>
    <row r="164" spans="1:5" x14ac:dyDescent="0.25">
      <c r="A164" t="s">
        <v>393</v>
      </c>
      <c r="B164" t="str">
        <f>LEFT(TRIM(dataset_2025_11_17T13_30_33_170025752Z_DEFAULT_INTEGRATION_IMF_RES_PCPS_9_0_0[[#This Row],[TIME_PERIOD]]),4)</f>
        <v>2024</v>
      </c>
      <c r="C164" t="str">
        <f>RIGHT(TRIM(dataset_2025_11_17T13_30_33_170025752Z_DEFAULT_INTEGRATION_IMF_RES_PCPS_9_0_0[[#This Row],[TIME_PERIOD]]),2)</f>
        <v>07</v>
      </c>
      <c r="D164">
        <v>68.251850891257007</v>
      </c>
      <c r="E164">
        <v>163</v>
      </c>
    </row>
    <row r="165" spans="1:5" x14ac:dyDescent="0.25">
      <c r="A165" t="s">
        <v>394</v>
      </c>
      <c r="B165" t="str">
        <f>LEFT(TRIM(dataset_2025_11_17T13_30_33_170025752Z_DEFAULT_INTEGRATION_IMF_RES_PCPS_9_0_0[[#This Row],[TIME_PERIOD]]),4)</f>
        <v>2024</v>
      </c>
      <c r="C165" t="str">
        <f>RIGHT(TRIM(dataset_2025_11_17T13_30_33_170025752Z_DEFAULT_INTEGRATION_IMF_RES_PCPS_9_0_0[[#This Row],[TIME_PERIOD]]),2)</f>
        <v>08</v>
      </c>
      <c r="D165">
        <v>65.288503253795994</v>
      </c>
      <c r="E165">
        <v>164</v>
      </c>
    </row>
    <row r="166" spans="1:5" x14ac:dyDescent="0.25">
      <c r="A166" t="s">
        <v>395</v>
      </c>
      <c r="B166" t="str">
        <f>LEFT(TRIM(dataset_2025_11_17T13_30_33_170025752Z_DEFAULT_INTEGRATION_IMF_RES_PCPS_9_0_0[[#This Row],[TIME_PERIOD]]),4)</f>
        <v>2024</v>
      </c>
      <c r="C166" t="str">
        <f>RIGHT(TRIM(dataset_2025_11_17T13_30_33_170025752Z_DEFAULT_INTEGRATION_IMF_RES_PCPS_9_0_0[[#This Row],[TIME_PERIOD]]),2)</f>
        <v>09</v>
      </c>
      <c r="D166">
        <v>64.630539200495704</v>
      </c>
      <c r="E166">
        <v>165</v>
      </c>
    </row>
    <row r="167" spans="1:5" x14ac:dyDescent="0.25">
      <c r="A167" t="s">
        <v>396</v>
      </c>
      <c r="B167" t="str">
        <f>LEFT(TRIM(dataset_2025_11_17T13_30_33_170025752Z_DEFAULT_INTEGRATION_IMF_RES_PCPS_9_0_0[[#This Row],[TIME_PERIOD]]),4)</f>
        <v>2024</v>
      </c>
      <c r="C167" t="str">
        <f>RIGHT(TRIM(dataset_2025_11_17T13_30_33_170025752Z_DEFAULT_INTEGRATION_IMF_RES_PCPS_9_0_0[[#This Row],[TIME_PERIOD]]),2)</f>
        <v>10</v>
      </c>
      <c r="D167">
        <v>66.511081769310394</v>
      </c>
      <c r="E167">
        <v>166</v>
      </c>
    </row>
    <row r="168" spans="1:5" x14ac:dyDescent="0.25">
      <c r="A168" t="s">
        <v>397</v>
      </c>
      <c r="B168" t="str">
        <f>LEFT(TRIM(dataset_2025_11_17T13_30_33_170025752Z_DEFAULT_INTEGRATION_IMF_RES_PCPS_9_0_0[[#This Row],[TIME_PERIOD]]),4)</f>
        <v>2024</v>
      </c>
      <c r="C168" t="str">
        <f>RIGHT(TRIM(dataset_2025_11_17T13_30_33_170025752Z_DEFAULT_INTEGRATION_IMF_RES_PCPS_9_0_0[[#This Row],[TIME_PERIOD]]),2)</f>
        <v>11</v>
      </c>
      <c r="D168">
        <v>63.158777502324</v>
      </c>
      <c r="E168">
        <v>167</v>
      </c>
    </row>
    <row r="169" spans="1:5" x14ac:dyDescent="0.25">
      <c r="A169" t="s">
        <v>398</v>
      </c>
      <c r="B169" t="str">
        <f>LEFT(TRIM(dataset_2025_11_17T13_30_33_170025752Z_DEFAULT_INTEGRATION_IMF_RES_PCPS_9_0_0[[#This Row],[TIME_PERIOD]]),4)</f>
        <v>2024</v>
      </c>
      <c r="C169" t="str">
        <f>RIGHT(TRIM(dataset_2025_11_17T13_30_33_170025752Z_DEFAULT_INTEGRATION_IMF_RES_PCPS_9_0_0[[#This Row],[TIME_PERIOD]]),2)</f>
        <v>12</v>
      </c>
      <c r="D169">
        <v>60.219976336028303</v>
      </c>
      <c r="E169">
        <v>168</v>
      </c>
    </row>
    <row r="170" spans="1:5" x14ac:dyDescent="0.25">
      <c r="A170" t="s">
        <v>399</v>
      </c>
      <c r="B170" t="str">
        <f>LEFT(TRIM(dataset_2025_11_17T13_30_33_170025752Z_DEFAULT_INTEGRATION_IMF_RES_PCPS_9_0_0[[#This Row],[TIME_PERIOD]]),4)</f>
        <v>2025</v>
      </c>
      <c r="C170" t="str">
        <f>RIGHT(TRIM(dataset_2025_11_17T13_30_33_170025752Z_DEFAULT_INTEGRATION_IMF_RES_PCPS_9_0_0[[#This Row],[TIME_PERIOD]]),2)</f>
        <v>01</v>
      </c>
      <c r="D170">
        <v>58.9595515420163</v>
      </c>
      <c r="E170">
        <v>169</v>
      </c>
    </row>
    <row r="171" spans="1:5" x14ac:dyDescent="0.25">
      <c r="A171" t="s">
        <v>400</v>
      </c>
      <c r="B171" t="str">
        <f>LEFT(TRIM(dataset_2025_11_17T13_30_33_170025752Z_DEFAULT_INTEGRATION_IMF_RES_PCPS_9_0_0[[#This Row],[TIME_PERIOD]]),4)</f>
        <v>2025</v>
      </c>
      <c r="C171" t="str">
        <f>RIGHT(TRIM(dataset_2025_11_17T13_30_33_170025752Z_DEFAULT_INTEGRATION_IMF_RES_PCPS_9_0_0[[#This Row],[TIME_PERIOD]]),2)</f>
        <v>02</v>
      </c>
      <c r="D171">
        <v>54.315509761388199</v>
      </c>
      <c r="E171">
        <v>170</v>
      </c>
    </row>
    <row r="172" spans="1:5" x14ac:dyDescent="0.25">
      <c r="A172" t="s">
        <v>401</v>
      </c>
      <c r="B172" t="str">
        <f>LEFT(TRIM(dataset_2025_11_17T13_30_33_170025752Z_DEFAULT_INTEGRATION_IMF_RES_PCPS_9_0_0[[#This Row],[TIME_PERIOD]]),4)</f>
        <v>2025</v>
      </c>
      <c r="C172" t="str">
        <f>RIGHT(TRIM(dataset_2025_11_17T13_30_33_170025752Z_DEFAULT_INTEGRATION_IMF_RES_PCPS_9_0_0[[#This Row],[TIME_PERIOD]]),2)</f>
        <v>03</v>
      </c>
      <c r="D172">
        <v>51.834869848156103</v>
      </c>
      <c r="E172">
        <v>171</v>
      </c>
    </row>
    <row r="173" spans="1:5" x14ac:dyDescent="0.25">
      <c r="A173" t="s">
        <v>402</v>
      </c>
      <c r="B173" t="str">
        <f>LEFT(TRIM(dataset_2025_11_17T13_30_33_170025752Z_DEFAULT_INTEGRATION_IMF_RES_PCPS_9_0_0[[#This Row],[TIME_PERIOD]]),4)</f>
        <v>2025</v>
      </c>
      <c r="C173" t="str">
        <f>RIGHT(TRIM(dataset_2025_11_17T13_30_33_170025752Z_DEFAULT_INTEGRATION_IMF_RES_PCPS_9_0_0[[#This Row],[TIME_PERIOD]]),2)</f>
        <v>04</v>
      </c>
      <c r="D173">
        <v>52.685133602839599</v>
      </c>
      <c r="E173">
        <v>172</v>
      </c>
    </row>
    <row r="174" spans="1:5" x14ac:dyDescent="0.25">
      <c r="A174" t="s">
        <v>403</v>
      </c>
      <c r="B174" t="str">
        <f>LEFT(TRIM(dataset_2025_11_17T13_30_33_170025752Z_DEFAULT_INTEGRATION_IMF_RES_PCPS_9_0_0[[#This Row],[TIME_PERIOD]]),4)</f>
        <v>2025</v>
      </c>
      <c r="C174" t="str">
        <f>RIGHT(TRIM(dataset_2025_11_17T13_30_33_170025752Z_DEFAULT_INTEGRATION_IMF_RES_PCPS_9_0_0[[#This Row],[TIME_PERIOD]]),2)</f>
        <v>05</v>
      </c>
      <c r="D174">
        <v>57.305573358311896</v>
      </c>
      <c r="E174">
        <v>173</v>
      </c>
    </row>
    <row r="175" spans="1:5" x14ac:dyDescent="0.25">
      <c r="A175" t="s">
        <v>404</v>
      </c>
      <c r="B175" t="str">
        <f>LEFT(TRIM(dataset_2025_11_17T13_30_33_170025752Z_DEFAULT_INTEGRATION_IMF_RES_PCPS_9_0_0[[#This Row],[TIME_PERIOD]]),4)</f>
        <v>2025</v>
      </c>
      <c r="C175" t="str">
        <f>RIGHT(TRIM(dataset_2025_11_17T13_30_33_170025752Z_DEFAULT_INTEGRATION_IMF_RES_PCPS_9_0_0[[#This Row],[TIME_PERIOD]]),2)</f>
        <v>06</v>
      </c>
      <c r="D175">
        <v>59.576528767689197</v>
      </c>
      <c r="E175">
        <v>174</v>
      </c>
    </row>
    <row r="176" spans="1:5" x14ac:dyDescent="0.25">
      <c r="A176" t="s">
        <v>405</v>
      </c>
      <c r="B176" t="str">
        <f>LEFT(TRIM(dataset_2025_11_17T13_30_33_170025752Z_DEFAULT_INTEGRATION_IMF_RES_PCPS_9_0_0[[#This Row],[TIME_PERIOD]]),4)</f>
        <v>2025</v>
      </c>
      <c r="C176" t="str">
        <f>RIGHT(TRIM(dataset_2025_11_17T13_30_33_170025752Z_DEFAULT_INTEGRATION_IMF_RES_PCPS_9_0_0[[#This Row],[TIME_PERIOD]]),2)</f>
        <v>07</v>
      </c>
      <c r="D176">
        <v>58.9472554937281</v>
      </c>
      <c r="E176">
        <v>175</v>
      </c>
    </row>
    <row r="177" spans="1:5" x14ac:dyDescent="0.25">
      <c r="A177" t="s">
        <v>406</v>
      </c>
      <c r="B177" t="str">
        <f>LEFT(TRIM(dataset_2025_11_17T13_30_33_170025752Z_DEFAULT_INTEGRATION_IMF_RES_PCPS_9_0_0[[#This Row],[TIME_PERIOD]]),4)</f>
        <v>2025</v>
      </c>
      <c r="C177" t="str">
        <f>RIGHT(TRIM(dataset_2025_11_17T13_30_33_170025752Z_DEFAULT_INTEGRATION_IMF_RES_PCPS_9_0_0[[#This Row],[TIME_PERIOD]]),2)</f>
        <v>08</v>
      </c>
      <c r="D177">
        <v>58.966661501910799</v>
      </c>
      <c r="E177">
        <v>176</v>
      </c>
    </row>
    <row r="178" spans="1:5" x14ac:dyDescent="0.25">
      <c r="A178" t="s">
        <v>407</v>
      </c>
      <c r="B178" t="str">
        <f>LEFT(TRIM(dataset_2025_11_17T13_30_33_170025752Z_DEFAULT_INTEGRATION_IMF_RES_PCPS_9_0_0[[#This Row],[TIME_PERIOD]]),4)</f>
        <v>2025</v>
      </c>
      <c r="C178" t="str">
        <f>RIGHT(TRIM(dataset_2025_11_17T13_30_33_170025752Z_DEFAULT_INTEGRATION_IMF_RES_PCPS_9_0_0[[#This Row],[TIME_PERIOD]]),2)</f>
        <v>09</v>
      </c>
      <c r="D178">
        <v>62.875443699467397</v>
      </c>
      <c r="E178">
        <v>177</v>
      </c>
    </row>
    <row r="179" spans="1:5" x14ac:dyDescent="0.25">
      <c r="A179" t="s">
        <v>408</v>
      </c>
      <c r="B179" t="str">
        <f>LEFT(TRIM(dataset_2025_11_17T13_30_33_170025752Z_DEFAULT_INTEGRATION_IMF_RES_PCPS_9_0_0[[#This Row],[TIME_PERIOD]]),4)</f>
        <v>2025</v>
      </c>
      <c r="C179" t="str">
        <f>RIGHT(TRIM(dataset_2025_11_17T13_30_33_170025752Z_DEFAULT_INTEGRATION_IMF_RES_PCPS_9_0_0[[#This Row],[TIME_PERIOD]]),2)</f>
        <v>10</v>
      </c>
      <c r="D179">
        <v>63.958773460341298</v>
      </c>
      <c r="E179">
        <v>178</v>
      </c>
    </row>
  </sheetData>
  <phoneticPr fontId="1" type="noConversion"/>
  <conditionalFormatting sqref="H18:Q18">
    <cfRule type="colorScale" priority="1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4:S4">
    <cfRule type="colorScale" priority="15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5:S5">
    <cfRule type="colorScale" priority="14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6:S6">
    <cfRule type="colorScale" priority="13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7:S7">
    <cfRule type="colorScale" priority="12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8:S8">
    <cfRule type="colorScale" priority="11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9:S9">
    <cfRule type="colorScale" priority="10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0:S10">
    <cfRule type="colorScale" priority="9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1:S11">
    <cfRule type="colorScale" priority="8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2:S12">
    <cfRule type="colorScale" priority="7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3:S13">
    <cfRule type="colorScale" priority="6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4:S14">
    <cfRule type="colorScale" priority="5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5:S15">
    <cfRule type="colorScale" priority="4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6:S16">
    <cfRule type="colorScale" priority="3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7:S17">
    <cfRule type="colorScale" priority="2">
      <colorScale>
        <cfvo type="min"/>
        <cfvo type="percentile" val="50"/>
        <cfvo type="max"/>
        <color rgb="FFE40F0A"/>
        <color theme="0"/>
        <color rgb="FF577840"/>
      </colorScale>
    </cfRule>
  </conditionalFormatting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942D-34CF-46D8-BB6A-B60D37E06EDF}">
  <dimension ref="A1"/>
  <sheetViews>
    <sheetView zoomScale="40" zoomScaleNormal="40" workbookViewId="0">
      <selection activeCell="AL60" sqref="AL6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DBAF-BCCA-4643-9B73-10F6C5FEE757}">
  <dimension ref="A1:P185"/>
  <sheetViews>
    <sheetView topLeftCell="A55" zoomScale="85" zoomScaleNormal="85" workbookViewId="0">
      <selection activeCell="O44" sqref="O44"/>
    </sheetView>
  </sheetViews>
  <sheetFormatPr baseColWidth="10" defaultColWidth="9" defaultRowHeight="15" x14ac:dyDescent="0.25"/>
  <cols>
    <col min="1" max="1" width="13.140625" bestFit="1" customWidth="1"/>
    <col min="2" max="2" width="11.85546875" bestFit="1" customWidth="1"/>
    <col min="3" max="3" width="3.85546875" bestFit="1" customWidth="1"/>
    <col min="4" max="4" width="43.7109375" bestFit="1" customWidth="1"/>
    <col min="5" max="5" width="17.7109375" bestFit="1" customWidth="1"/>
    <col min="6" max="6" width="18.140625" bestFit="1" customWidth="1"/>
    <col min="7" max="7" width="18" bestFit="1" customWidth="1"/>
    <col min="8" max="14" width="1.42578125" bestFit="1" customWidth="1"/>
    <col min="15" max="15" width="46.140625" bestFit="1" customWidth="1"/>
    <col min="16" max="16" width="14.42578125" bestFit="1" customWidth="1"/>
  </cols>
  <sheetData>
    <row r="1" spans="1:16" x14ac:dyDescent="0.25">
      <c r="D1" s="10" t="s">
        <v>432</v>
      </c>
      <c r="E1" s="10" t="s">
        <v>433</v>
      </c>
      <c r="F1" s="10" t="s">
        <v>434</v>
      </c>
      <c r="G1" s="10" t="s">
        <v>435</v>
      </c>
    </row>
    <row r="2" spans="1:16" x14ac:dyDescent="0.25">
      <c r="A2" t="s">
        <v>0</v>
      </c>
      <c r="B2" t="s">
        <v>1</v>
      </c>
      <c r="C2" t="s">
        <v>2</v>
      </c>
      <c r="D2" s="5" t="s">
        <v>436</v>
      </c>
      <c r="E2" s="6" t="s">
        <v>437</v>
      </c>
      <c r="F2" s="6" t="s">
        <v>438</v>
      </c>
      <c r="G2" s="6" t="s">
        <v>439</v>
      </c>
    </row>
    <row r="3" spans="1:16" x14ac:dyDescent="0.25">
      <c r="A3" t="s">
        <v>231</v>
      </c>
      <c r="B3">
        <v>63.875</v>
      </c>
      <c r="C3">
        <v>1</v>
      </c>
      <c r="D3">
        <f>$P$3*C3+$P$5</f>
        <v>34.120740250725895</v>
      </c>
      <c r="E3">
        <f t="shared" ref="E3:E34" si="0">(D3-B3)^2</f>
        <v>885.31597322727316</v>
      </c>
      <c r="F3">
        <f t="shared" ref="F3:F34" si="1">(B3-AVERAGE($B$3:$B$180))^2</f>
        <v>603.54222242858623</v>
      </c>
      <c r="G3">
        <f t="shared" ref="G3:G34" si="2">(D3-AVERAGE($B$3:$B$180))^2</f>
        <v>26.906664266237431</v>
      </c>
      <c r="K3" t="s">
        <v>427</v>
      </c>
      <c r="N3" t="s">
        <v>427</v>
      </c>
      <c r="O3" s="4" t="s">
        <v>440</v>
      </c>
      <c r="P3" s="3">
        <f>SLOPE(B3:B180,C3:C180)</f>
        <v>5.8612015958555412E-2</v>
      </c>
    </row>
    <row r="4" spans="1:16" x14ac:dyDescent="0.25">
      <c r="A4" t="s">
        <v>232</v>
      </c>
      <c r="B4">
        <v>65</v>
      </c>
      <c r="C4">
        <v>2</v>
      </c>
      <c r="D4">
        <f t="shared" ref="D4:D67" si="3">$P$3*C4+$P$5</f>
        <v>34.179352266684454</v>
      </c>
      <c r="E4">
        <f t="shared" si="0"/>
        <v>949.91232670112868</v>
      </c>
      <c r="F4">
        <f t="shared" si="1"/>
        <v>660.08381418670569</v>
      </c>
      <c r="G4">
        <f t="shared" si="2"/>
        <v>26.302039425245624</v>
      </c>
      <c r="H4" t="s">
        <v>427</v>
      </c>
      <c r="K4" t="s">
        <v>427</v>
      </c>
      <c r="N4" t="s">
        <v>427</v>
      </c>
    </row>
    <row r="5" spans="1:16" x14ac:dyDescent="0.25">
      <c r="A5" t="s">
        <v>233</v>
      </c>
      <c r="B5">
        <v>63.5</v>
      </c>
      <c r="C5">
        <v>3</v>
      </c>
      <c r="D5">
        <f t="shared" si="3"/>
        <v>34.237964282643006</v>
      </c>
      <c r="E5">
        <f t="shared" si="0"/>
        <v>856.26673432387645</v>
      </c>
      <c r="F5">
        <f t="shared" si="1"/>
        <v>585.25752517587978</v>
      </c>
      <c r="G5">
        <f t="shared" si="2"/>
        <v>25.704285321083344</v>
      </c>
      <c r="H5" t="s">
        <v>427</v>
      </c>
      <c r="K5" t="s">
        <v>427</v>
      </c>
      <c r="L5" t="s">
        <v>427</v>
      </c>
      <c r="M5" t="s">
        <v>427</v>
      </c>
      <c r="N5" t="s">
        <v>427</v>
      </c>
      <c r="O5" s="2" t="s">
        <v>441</v>
      </c>
      <c r="P5" s="3">
        <f>INTERCEPT(B3:B180,C3:C180)</f>
        <v>34.062128234767343</v>
      </c>
    </row>
    <row r="6" spans="1:16" x14ac:dyDescent="0.25">
      <c r="A6" t="s">
        <v>234</v>
      </c>
      <c r="B6">
        <v>57.821428571428598</v>
      </c>
      <c r="C6">
        <v>4</v>
      </c>
      <c r="D6">
        <f t="shared" si="3"/>
        <v>34.296576298601565</v>
      </c>
      <c r="E6">
        <f t="shared" si="0"/>
        <v>553.4186744583352</v>
      </c>
      <c r="F6">
        <f t="shared" si="1"/>
        <v>342.75060453285647</v>
      </c>
      <c r="G6">
        <f t="shared" si="2"/>
        <v>25.113401953750444</v>
      </c>
      <c r="H6" t="s">
        <v>427</v>
      </c>
      <c r="I6" t="s">
        <v>427</v>
      </c>
      <c r="J6" t="s">
        <v>427</v>
      </c>
      <c r="K6" t="s">
        <v>427</v>
      </c>
      <c r="L6" t="s">
        <v>427</v>
      </c>
      <c r="M6" t="s">
        <v>427</v>
      </c>
      <c r="N6" t="s">
        <v>427</v>
      </c>
    </row>
    <row r="7" spans="1:16" x14ac:dyDescent="0.25">
      <c r="A7" t="s">
        <v>235</v>
      </c>
      <c r="B7">
        <v>56.0625</v>
      </c>
      <c r="C7">
        <v>5</v>
      </c>
      <c r="D7">
        <f t="shared" si="3"/>
        <v>34.355188314560117</v>
      </c>
      <c r="E7">
        <f t="shared" si="0"/>
        <v>471.20738060883491</v>
      </c>
      <c r="F7">
        <f t="shared" si="1"/>
        <v>280.71649841386841</v>
      </c>
      <c r="G7">
        <f t="shared" si="2"/>
        <v>24.529389323247067</v>
      </c>
      <c r="J7" t="s">
        <v>427</v>
      </c>
      <c r="K7" t="s">
        <v>427</v>
      </c>
      <c r="L7" t="s">
        <v>427</v>
      </c>
      <c r="M7" t="s">
        <v>427</v>
      </c>
      <c r="N7" t="s">
        <v>427</v>
      </c>
      <c r="O7" s="2" t="s">
        <v>442</v>
      </c>
      <c r="P7" s="3">
        <f>COVAR(B3:B180,C3:C180)</f>
        <v>154.7503751345759</v>
      </c>
    </row>
    <row r="8" spans="1:16" x14ac:dyDescent="0.25">
      <c r="A8" t="s">
        <v>236</v>
      </c>
      <c r="B8">
        <v>55.4</v>
      </c>
      <c r="C8">
        <v>6</v>
      </c>
      <c r="D8">
        <f t="shared" si="3"/>
        <v>34.413800330518676</v>
      </c>
      <c r="E8">
        <f t="shared" si="0"/>
        <v>440.420576567338</v>
      </c>
      <c r="F8">
        <f t="shared" si="1"/>
        <v>258.95556451742027</v>
      </c>
      <c r="G8">
        <f t="shared" si="2"/>
        <v>23.95224742957307</v>
      </c>
      <c r="H8" t="s">
        <v>427</v>
      </c>
      <c r="J8" t="s">
        <v>427</v>
      </c>
      <c r="K8" t="s">
        <v>427</v>
      </c>
      <c r="L8" t="s">
        <v>427</v>
      </c>
      <c r="M8" t="s">
        <v>427</v>
      </c>
      <c r="N8" t="s">
        <v>427</v>
      </c>
    </row>
    <row r="9" spans="1:16" x14ac:dyDescent="0.25">
      <c r="A9" t="s">
        <v>237</v>
      </c>
      <c r="B9">
        <v>52.788888888888899</v>
      </c>
      <c r="C9">
        <v>7</v>
      </c>
      <c r="D9">
        <f t="shared" si="3"/>
        <v>34.472412346477228</v>
      </c>
      <c r="E9">
        <f t="shared" si="0"/>
        <v>335.49331292871699</v>
      </c>
      <c r="F9">
        <f t="shared" si="1"/>
        <v>181.73696265906946</v>
      </c>
      <c r="G9">
        <f t="shared" si="2"/>
        <v>23.381976272728593</v>
      </c>
      <c r="O9" s="2" t="s">
        <v>443</v>
      </c>
      <c r="P9" s="3">
        <f>AVERAGE(C3:C180)</f>
        <v>89.5</v>
      </c>
    </row>
    <row r="10" spans="1:16" x14ac:dyDescent="0.25">
      <c r="A10" t="s">
        <v>238</v>
      </c>
      <c r="B10">
        <v>50.683333333333302</v>
      </c>
      <c r="C10">
        <v>8</v>
      </c>
      <c r="D10">
        <f t="shared" si="3"/>
        <v>34.531024362435787</v>
      </c>
      <c r="E10">
        <f t="shared" si="0"/>
        <v>260.89708509133635</v>
      </c>
      <c r="F10">
        <f t="shared" si="1"/>
        <v>129.40040018337839</v>
      </c>
      <c r="G10">
        <f t="shared" si="2"/>
        <v>22.818575852713501</v>
      </c>
    </row>
    <row r="11" spans="1:16" x14ac:dyDescent="0.25">
      <c r="A11" t="s">
        <v>239</v>
      </c>
      <c r="B11">
        <v>51.983333333333299</v>
      </c>
      <c r="C11">
        <v>9</v>
      </c>
      <c r="D11">
        <f t="shared" si="3"/>
        <v>34.589636378394339</v>
      </c>
      <c r="E11">
        <f t="shared" si="0"/>
        <v>302.54069376025285</v>
      </c>
      <c r="F11">
        <f t="shared" si="1"/>
        <v>160.66651732609395</v>
      </c>
      <c r="G11">
        <f t="shared" si="2"/>
        <v>22.262046169527931</v>
      </c>
      <c r="O11" s="2" t="s">
        <v>444</v>
      </c>
      <c r="P11" s="3">
        <f>AVERAGE(B3:B180)</f>
        <v>39.307903663058056</v>
      </c>
    </row>
    <row r="12" spans="1:16" x14ac:dyDescent="0.25">
      <c r="A12" t="s">
        <v>240</v>
      </c>
      <c r="B12">
        <v>52.337499999999999</v>
      </c>
      <c r="C12">
        <v>10</v>
      </c>
      <c r="D12">
        <f t="shared" si="3"/>
        <v>34.648248394352898</v>
      </c>
      <c r="E12">
        <f t="shared" si="0"/>
        <v>312.90962236788852</v>
      </c>
      <c r="F12">
        <f t="shared" si="1"/>
        <v>169.77038070365089</v>
      </c>
      <c r="G12">
        <f t="shared" si="2"/>
        <v>21.712387223171742</v>
      </c>
      <c r="P12" t="s">
        <v>427</v>
      </c>
    </row>
    <row r="13" spans="1:16" x14ac:dyDescent="0.25">
      <c r="A13" t="s">
        <v>241</v>
      </c>
      <c r="B13">
        <v>53.1944444444444</v>
      </c>
      <c r="C13">
        <v>11</v>
      </c>
      <c r="D13">
        <f t="shared" si="3"/>
        <v>34.70686041031145</v>
      </c>
      <c r="E13">
        <f t="shared" si="0"/>
        <v>341.79076341912759</v>
      </c>
      <c r="F13">
        <f t="shared" si="1"/>
        <v>192.83601487310605</v>
      </c>
      <c r="G13">
        <f t="shared" si="2"/>
        <v>21.169599013645072</v>
      </c>
      <c r="O13" s="2" t="s">
        <v>445</v>
      </c>
      <c r="P13" s="3" t="s">
        <v>446</v>
      </c>
    </row>
    <row r="14" spans="1:16" x14ac:dyDescent="0.25">
      <c r="A14" t="s">
        <v>242</v>
      </c>
      <c r="B14">
        <v>52.178571428571402</v>
      </c>
      <c r="C14">
        <v>12</v>
      </c>
      <c r="D14">
        <f t="shared" si="3"/>
        <v>34.765472426270009</v>
      </c>
      <c r="E14">
        <f t="shared" si="0"/>
        <v>303.21601686394979</v>
      </c>
      <c r="F14">
        <f t="shared" si="1"/>
        <v>165.65408873022432</v>
      </c>
      <c r="G14">
        <f t="shared" si="2"/>
        <v>20.633681540947791</v>
      </c>
    </row>
    <row r="15" spans="1:16" x14ac:dyDescent="0.25">
      <c r="A15" t="s">
        <v>243</v>
      </c>
      <c r="B15">
        <v>52.3125</v>
      </c>
      <c r="C15">
        <v>13</v>
      </c>
      <c r="D15">
        <f t="shared" si="3"/>
        <v>34.82408444222856</v>
      </c>
      <c r="E15">
        <f t="shared" si="0"/>
        <v>305.8446787213021</v>
      </c>
      <c r="F15">
        <f t="shared" si="1"/>
        <v>169.11952588680381</v>
      </c>
      <c r="G15">
        <f t="shared" si="2"/>
        <v>20.104634805080025</v>
      </c>
      <c r="O15" s="2" t="s">
        <v>447</v>
      </c>
      <c r="P15" s="3">
        <f>VARP(B3:B180)</f>
        <v>202.58894267562988</v>
      </c>
    </row>
    <row r="16" spans="1:16" x14ac:dyDescent="0.25">
      <c r="A16" t="s">
        <v>244</v>
      </c>
      <c r="B16">
        <v>52.0555555555556</v>
      </c>
      <c r="C16">
        <v>14</v>
      </c>
      <c r="D16">
        <f t="shared" si="3"/>
        <v>34.88269645818712</v>
      </c>
      <c r="E16">
        <f t="shared" si="0"/>
        <v>294.90708957807135</v>
      </c>
      <c r="F16">
        <f t="shared" si="1"/>
        <v>162.50262877229622</v>
      </c>
      <c r="G16">
        <f t="shared" si="2"/>
        <v>19.582458806041647</v>
      </c>
    </row>
    <row r="17" spans="1:16" x14ac:dyDescent="0.25">
      <c r="A17" t="s">
        <v>245</v>
      </c>
      <c r="B17">
        <v>51.288888888888899</v>
      </c>
      <c r="C17">
        <v>15</v>
      </c>
      <c r="D17">
        <f t="shared" si="3"/>
        <v>34.941308474145671</v>
      </c>
      <c r="E17">
        <f t="shared" si="0"/>
        <v>267.24338541649632</v>
      </c>
      <c r="F17">
        <f t="shared" si="1"/>
        <v>143.54400698157693</v>
      </c>
      <c r="G17">
        <f t="shared" si="2"/>
        <v>19.067153543832784</v>
      </c>
      <c r="O17" s="2" t="s">
        <v>448</v>
      </c>
      <c r="P17" s="3">
        <f>VARP(C3:C180)</f>
        <v>2640.25</v>
      </c>
    </row>
    <row r="18" spans="1:16" x14ac:dyDescent="0.25">
      <c r="A18" t="s">
        <v>246</v>
      </c>
      <c r="B18">
        <v>51.3</v>
      </c>
      <c r="C18">
        <v>16</v>
      </c>
      <c r="D18">
        <f t="shared" si="3"/>
        <v>34.99992049010423</v>
      </c>
      <c r="E18">
        <f t="shared" si="0"/>
        <v>265.6925920289238</v>
      </c>
      <c r="F18">
        <f t="shared" si="1"/>
        <v>143.81037455449632</v>
      </c>
      <c r="G18">
        <f t="shared" si="2"/>
        <v>18.55871901845331</v>
      </c>
    </row>
    <row r="19" spans="1:16" x14ac:dyDescent="0.25">
      <c r="A19" t="s">
        <v>247</v>
      </c>
      <c r="B19">
        <v>51.8888888888889</v>
      </c>
      <c r="C19">
        <v>17</v>
      </c>
      <c r="D19">
        <f t="shared" si="3"/>
        <v>35.058532506062782</v>
      </c>
      <c r="E19">
        <f t="shared" si="0"/>
        <v>283.26089597293583</v>
      </c>
      <c r="F19">
        <f t="shared" si="1"/>
        <v>158.28118925257397</v>
      </c>
      <c r="G19">
        <f t="shared" si="2"/>
        <v>18.057155229903351</v>
      </c>
      <c r="O19" s="2" t="s">
        <v>449</v>
      </c>
      <c r="P19" s="3">
        <f>CORREL(B3:B180,C3:C180)</f>
        <v>0.21159300965057196</v>
      </c>
    </row>
    <row r="20" spans="1:16" x14ac:dyDescent="0.25">
      <c r="A20" t="s">
        <v>248</v>
      </c>
      <c r="B20">
        <v>50.8333333333333</v>
      </c>
      <c r="C20">
        <v>18</v>
      </c>
      <c r="D20">
        <f t="shared" si="3"/>
        <v>35.117144522021341</v>
      </c>
      <c r="E20">
        <f t="shared" si="0"/>
        <v>246.99859075280719</v>
      </c>
      <c r="F20">
        <f t="shared" si="1"/>
        <v>132.83552908446092</v>
      </c>
      <c r="G20">
        <f t="shared" si="2"/>
        <v>17.562462178182784</v>
      </c>
    </row>
    <row r="21" spans="1:16" x14ac:dyDescent="0.25">
      <c r="A21" t="s">
        <v>249</v>
      </c>
      <c r="B21">
        <v>50.355555555555597</v>
      </c>
      <c r="C21">
        <v>19</v>
      </c>
      <c r="D21">
        <f t="shared" si="3"/>
        <v>35.175756537979893</v>
      </c>
      <c r="E21">
        <f t="shared" si="0"/>
        <v>230.42629821399228</v>
      </c>
      <c r="F21">
        <f t="shared" si="1"/>
        <v>122.05061233780449</v>
      </c>
      <c r="G21">
        <f t="shared" si="2"/>
        <v>17.074639863291726</v>
      </c>
    </row>
    <row r="22" spans="1:16" x14ac:dyDescent="0.25">
      <c r="A22" t="s">
        <v>250</v>
      </c>
      <c r="B22">
        <v>49.25</v>
      </c>
      <c r="C22">
        <v>20</v>
      </c>
      <c r="D22">
        <f t="shared" si="3"/>
        <v>35.234368553938452</v>
      </c>
      <c r="E22">
        <f t="shared" si="0"/>
        <v>196.43792483182932</v>
      </c>
      <c r="F22">
        <f t="shared" si="1"/>
        <v>98.845279573034418</v>
      </c>
      <c r="G22">
        <f t="shared" si="2"/>
        <v>16.593688285230062</v>
      </c>
    </row>
    <row r="23" spans="1:16" x14ac:dyDescent="0.25">
      <c r="A23" t="s">
        <v>251</v>
      </c>
      <c r="B23">
        <v>47.725000000000001</v>
      </c>
      <c r="C23">
        <v>21</v>
      </c>
      <c r="D23">
        <f t="shared" si="3"/>
        <v>35.292980569897004</v>
      </c>
      <c r="E23">
        <f t="shared" si="0"/>
        <v>154.55510711045844</v>
      </c>
      <c r="F23">
        <f t="shared" si="1"/>
        <v>70.847510745361518</v>
      </c>
      <c r="G23">
        <f t="shared" si="2"/>
        <v>16.119607443997907</v>
      </c>
    </row>
    <row r="24" spans="1:16" x14ac:dyDescent="0.25">
      <c r="A24" t="s">
        <v>252</v>
      </c>
      <c r="B24">
        <v>44.6111111111111</v>
      </c>
      <c r="C24">
        <v>22</v>
      </c>
      <c r="D24">
        <f t="shared" si="3"/>
        <v>35.351592585855563</v>
      </c>
      <c r="E24">
        <f t="shared" si="0"/>
        <v>85.738683319550475</v>
      </c>
      <c r="F24">
        <f t="shared" si="1"/>
        <v>28.124009237085279</v>
      </c>
      <c r="G24">
        <f t="shared" si="2"/>
        <v>15.652397339595149</v>
      </c>
    </row>
    <row r="25" spans="1:16" x14ac:dyDescent="0.25">
      <c r="A25" t="s">
        <v>253</v>
      </c>
      <c r="B25">
        <v>41.5</v>
      </c>
      <c r="C25">
        <v>23</v>
      </c>
      <c r="D25">
        <f t="shared" si="3"/>
        <v>35.410204601814115</v>
      </c>
      <c r="E25">
        <f t="shared" si="0"/>
        <v>37.085607991765976</v>
      </c>
      <c r="F25">
        <f t="shared" si="1"/>
        <v>4.8052863504342884</v>
      </c>
      <c r="G25">
        <f t="shared" si="2"/>
        <v>15.192057972021898</v>
      </c>
    </row>
    <row r="26" spans="1:16" x14ac:dyDescent="0.25">
      <c r="A26" t="s">
        <v>254</v>
      </c>
      <c r="B26">
        <v>43.6666666666667</v>
      </c>
      <c r="C26">
        <v>24</v>
      </c>
      <c r="D26">
        <f t="shared" si="3"/>
        <v>35.468816617772674</v>
      </c>
      <c r="E26">
        <f t="shared" si="0"/>
        <v>67.204745424151781</v>
      </c>
      <c r="F26">
        <f t="shared" si="1"/>
        <v>18.998814921627446</v>
      </c>
      <c r="G26">
        <f t="shared" si="2"/>
        <v>14.738589341278043</v>
      </c>
    </row>
    <row r="27" spans="1:16" x14ac:dyDescent="0.25">
      <c r="A27" t="s">
        <v>255</v>
      </c>
      <c r="B27">
        <v>42.75</v>
      </c>
      <c r="C27">
        <v>25</v>
      </c>
      <c r="D27">
        <f t="shared" si="3"/>
        <v>35.527428633731226</v>
      </c>
      <c r="E27">
        <f t="shared" si="0"/>
        <v>52.165537140845579</v>
      </c>
      <c r="F27">
        <f t="shared" si="1"/>
        <v>11.848027192789148</v>
      </c>
      <c r="G27">
        <f t="shared" si="2"/>
        <v>14.291991447363696</v>
      </c>
    </row>
    <row r="28" spans="1:16" x14ac:dyDescent="0.25">
      <c r="A28" t="s">
        <v>256</v>
      </c>
      <c r="B28">
        <v>43.40625</v>
      </c>
      <c r="C28">
        <v>26</v>
      </c>
      <c r="D28">
        <f t="shared" si="3"/>
        <v>35.586040649689785</v>
      </c>
      <c r="E28">
        <f t="shared" si="0"/>
        <v>61.155674282679314</v>
      </c>
      <c r="F28">
        <f t="shared" si="1"/>
        <v>16.79644269752545</v>
      </c>
      <c r="G28">
        <f t="shared" si="2"/>
        <v>13.852264290278745</v>
      </c>
    </row>
    <row r="29" spans="1:16" x14ac:dyDescent="0.25">
      <c r="A29" t="s">
        <v>257</v>
      </c>
      <c r="B29">
        <v>42.28125</v>
      </c>
      <c r="C29">
        <v>27</v>
      </c>
      <c r="D29">
        <f t="shared" si="3"/>
        <v>35.644652665648337</v>
      </c>
      <c r="E29">
        <f t="shared" si="0"/>
        <v>44.044424178323595</v>
      </c>
      <c r="F29">
        <f t="shared" si="1"/>
        <v>8.8407884394060758</v>
      </c>
      <c r="G29">
        <f t="shared" si="2"/>
        <v>13.419407870023301</v>
      </c>
    </row>
    <row r="30" spans="1:16" x14ac:dyDescent="0.25">
      <c r="A30" t="s">
        <v>258</v>
      </c>
      <c r="B30">
        <v>41.412500000000001</v>
      </c>
      <c r="C30">
        <v>28</v>
      </c>
      <c r="D30">
        <f t="shared" si="3"/>
        <v>35.703264681606896</v>
      </c>
      <c r="E30">
        <f t="shared" si="0"/>
        <v>32.595367920787226</v>
      </c>
      <c r="F30">
        <f t="shared" si="1"/>
        <v>4.4293257414694542</v>
      </c>
      <c r="G30">
        <f t="shared" si="2"/>
        <v>12.993422186597256</v>
      </c>
    </row>
    <row r="31" spans="1:16" x14ac:dyDescent="0.25">
      <c r="A31" t="s">
        <v>259</v>
      </c>
      <c r="B31">
        <v>40.604999999999997</v>
      </c>
      <c r="C31">
        <v>29</v>
      </c>
      <c r="D31">
        <f t="shared" si="3"/>
        <v>35.761876697565448</v>
      </c>
      <c r="E31">
        <f t="shared" si="0"/>
        <v>23.455843322584531</v>
      </c>
      <c r="F31">
        <f t="shared" si="1"/>
        <v>1.6824589073082008</v>
      </c>
      <c r="G31">
        <f t="shared" si="2"/>
        <v>12.574307240000714</v>
      </c>
    </row>
    <row r="32" spans="1:16" x14ac:dyDescent="0.25">
      <c r="A32" t="s">
        <v>260</v>
      </c>
      <c r="B32">
        <v>39.9375</v>
      </c>
      <c r="C32">
        <v>30</v>
      </c>
      <c r="D32">
        <f t="shared" si="3"/>
        <v>35.820488713524007</v>
      </c>
      <c r="E32">
        <f t="shared" si="0"/>
        <v>16.949781932970708</v>
      </c>
      <c r="F32">
        <f t="shared" si="1"/>
        <v>0.39639154749071381</v>
      </c>
      <c r="G32">
        <f t="shared" si="2"/>
        <v>12.162063030233574</v>
      </c>
    </row>
    <row r="33" spans="1:7" x14ac:dyDescent="0.25">
      <c r="A33" t="s">
        <v>261</v>
      </c>
      <c r="B33">
        <v>38.022222222222197</v>
      </c>
      <c r="C33">
        <v>31</v>
      </c>
      <c r="D33">
        <f t="shared" si="3"/>
        <v>35.879100729482559</v>
      </c>
      <c r="E33">
        <f t="shared" si="0"/>
        <v>4.5929697326425751</v>
      </c>
      <c r="F33">
        <f t="shared" si="1"/>
        <v>1.6529767673097699</v>
      </c>
      <c r="G33">
        <f t="shared" si="2"/>
        <v>11.756689557295934</v>
      </c>
    </row>
    <row r="34" spans="1:7" x14ac:dyDescent="0.25">
      <c r="A34" t="s">
        <v>262</v>
      </c>
      <c r="B34">
        <v>34.994162640901799</v>
      </c>
      <c r="C34">
        <v>32</v>
      </c>
      <c r="D34">
        <f t="shared" si="3"/>
        <v>35.937712745441118</v>
      </c>
      <c r="E34">
        <f t="shared" si="0"/>
        <v>0.89028679977616088</v>
      </c>
      <c r="F34">
        <f t="shared" si="1"/>
        <v>18.608361606233714</v>
      </c>
      <c r="G34">
        <f t="shared" si="2"/>
        <v>11.358186821187699</v>
      </c>
    </row>
    <row r="35" spans="1:7" x14ac:dyDescent="0.25">
      <c r="A35" t="s">
        <v>263</v>
      </c>
      <c r="B35">
        <v>34.453286749482402</v>
      </c>
      <c r="C35">
        <v>33</v>
      </c>
      <c r="D35">
        <f t="shared" si="3"/>
        <v>35.99632476139967</v>
      </c>
      <c r="E35">
        <f t="shared" ref="E35:E66" si="4">(D35-B35)^2</f>
        <v>2.3809663062215956</v>
      </c>
      <c r="F35">
        <f t="shared" ref="F35:F66" si="5">(B35-AVERAGE($B$3:$B$180))^2</f>
        <v>23.567305377574812</v>
      </c>
      <c r="G35">
        <f t="shared" ref="G35:G66" si="6">(D35-AVERAGE($B$3:$B$180))^2</f>
        <v>10.966554821908963</v>
      </c>
    </row>
    <row r="36" spans="1:7" x14ac:dyDescent="0.25">
      <c r="A36" t="s">
        <v>264</v>
      </c>
      <c r="B36">
        <v>34.848495589161899</v>
      </c>
      <c r="C36">
        <v>34</v>
      </c>
      <c r="D36">
        <f t="shared" si="3"/>
        <v>36.054936777358229</v>
      </c>
      <c r="E36">
        <f t="shared" si="4"/>
        <v>1.4555003405765714</v>
      </c>
      <c r="F36">
        <f t="shared" si="5"/>
        <v>19.886320369530228</v>
      </c>
      <c r="G36">
        <f t="shared" si="6"/>
        <v>10.581793559459632</v>
      </c>
    </row>
    <row r="37" spans="1:7" x14ac:dyDescent="0.25">
      <c r="A37" t="s">
        <v>265</v>
      </c>
      <c r="B37">
        <v>35.592003105590003</v>
      </c>
      <c r="C37">
        <v>35</v>
      </c>
      <c r="D37">
        <f t="shared" si="3"/>
        <v>36.113548793316781</v>
      </c>
      <c r="E37">
        <f t="shared" si="4"/>
        <v>0.27200990438639816</v>
      </c>
      <c r="F37">
        <f t="shared" si="5"/>
        <v>13.807916952991391</v>
      </c>
      <c r="G37">
        <f t="shared" si="6"/>
        <v>10.203903033839799</v>
      </c>
    </row>
    <row r="38" spans="1:7" x14ac:dyDescent="0.25">
      <c r="A38" t="s">
        <v>266</v>
      </c>
      <c r="B38">
        <v>34.593297101449302</v>
      </c>
      <c r="C38">
        <v>36</v>
      </c>
      <c r="D38">
        <f t="shared" si="3"/>
        <v>36.17216080927534</v>
      </c>
      <c r="E38">
        <f t="shared" si="4"/>
        <v>2.4928106078901844</v>
      </c>
      <c r="F38">
        <f t="shared" si="5"/>
        <v>22.227515030764319</v>
      </c>
      <c r="G38">
        <f t="shared" si="6"/>
        <v>9.8328832450493717</v>
      </c>
    </row>
    <row r="39" spans="1:7" x14ac:dyDescent="0.25">
      <c r="A39" t="s">
        <v>267</v>
      </c>
      <c r="B39">
        <v>35.214988972904798</v>
      </c>
      <c r="C39">
        <v>37</v>
      </c>
      <c r="D39">
        <f t="shared" si="3"/>
        <v>36.230772825233892</v>
      </c>
      <c r="E39">
        <f t="shared" si="4"/>
        <v>1.0318168346525334</v>
      </c>
      <c r="F39">
        <f t="shared" si="5"/>
        <v>16.751950660872335</v>
      </c>
      <c r="G39">
        <f t="shared" si="6"/>
        <v>9.4687341930884426</v>
      </c>
    </row>
    <row r="40" spans="1:7" x14ac:dyDescent="0.25">
      <c r="A40" t="s">
        <v>268</v>
      </c>
      <c r="B40">
        <v>35.546739130434801</v>
      </c>
      <c r="C40">
        <v>38</v>
      </c>
      <c r="D40">
        <f t="shared" si="3"/>
        <v>36.289384841192451</v>
      </c>
      <c r="E40">
        <f t="shared" si="4"/>
        <v>0.55152265170673453</v>
      </c>
      <c r="F40">
        <f t="shared" si="5"/>
        <v>14.146358641463106</v>
      </c>
      <c r="G40">
        <f t="shared" si="6"/>
        <v>9.1114558779569208</v>
      </c>
    </row>
    <row r="41" spans="1:7" x14ac:dyDescent="0.25">
      <c r="A41" t="s">
        <v>269</v>
      </c>
      <c r="B41">
        <v>34.7028554175293</v>
      </c>
      <c r="C41">
        <v>39</v>
      </c>
      <c r="D41">
        <f t="shared" si="3"/>
        <v>36.347996857151003</v>
      </c>
      <c r="E41">
        <f t="shared" si="4"/>
        <v>2.70649035636057</v>
      </c>
      <c r="F41">
        <f t="shared" si="5"/>
        <v>21.206469343647477</v>
      </c>
      <c r="G41">
        <f t="shared" si="6"/>
        <v>8.7610482996548935</v>
      </c>
    </row>
    <row r="42" spans="1:7" x14ac:dyDescent="0.25">
      <c r="A42" t="s">
        <v>270</v>
      </c>
      <c r="B42">
        <v>32.744565217391298</v>
      </c>
      <c r="C42">
        <v>40</v>
      </c>
      <c r="D42">
        <f t="shared" si="3"/>
        <v>36.406608873109562</v>
      </c>
      <c r="E42">
        <f t="shared" si="4"/>
        <v>13.41056373638639</v>
      </c>
      <c r="F42">
        <f t="shared" si="5"/>
        <v>43.077411552367344</v>
      </c>
      <c r="G42">
        <f t="shared" si="6"/>
        <v>8.4175114581822772</v>
      </c>
    </row>
    <row r="43" spans="1:7" x14ac:dyDescent="0.25">
      <c r="A43" t="s">
        <v>271</v>
      </c>
      <c r="B43">
        <v>28.539855072463801</v>
      </c>
      <c r="C43">
        <v>41</v>
      </c>
      <c r="D43">
        <f t="shared" si="3"/>
        <v>36.465220889068114</v>
      </c>
      <c r="E43">
        <f t="shared" si="4"/>
        <v>62.811423327000142</v>
      </c>
      <c r="F43">
        <f t="shared" si="5"/>
        <v>115.95087044939892</v>
      </c>
      <c r="G43">
        <f t="shared" si="6"/>
        <v>8.0808453535391536</v>
      </c>
    </row>
    <row r="44" spans="1:7" x14ac:dyDescent="0.25">
      <c r="A44" t="s">
        <v>272</v>
      </c>
      <c r="B44">
        <v>28.2254572118702</v>
      </c>
      <c r="C44">
        <v>42</v>
      </c>
      <c r="D44">
        <f t="shared" si="3"/>
        <v>36.523832905026673</v>
      </c>
      <c r="E44">
        <f t="shared" si="4"/>
        <v>68.86303914477017</v>
      </c>
      <c r="F44">
        <f t="shared" si="5"/>
        <v>122.82061934344631</v>
      </c>
      <c r="G44">
        <f t="shared" si="6"/>
        <v>7.7510499857254409</v>
      </c>
    </row>
    <row r="45" spans="1:7" x14ac:dyDescent="0.25">
      <c r="A45" t="s">
        <v>273</v>
      </c>
      <c r="B45">
        <v>28.4002047889099</v>
      </c>
      <c r="C45">
        <v>43</v>
      </c>
      <c r="D45">
        <f t="shared" si="3"/>
        <v>36.582444920985225</v>
      </c>
      <c r="E45">
        <f t="shared" si="4"/>
        <v>66.949053578944032</v>
      </c>
      <c r="F45">
        <f t="shared" si="5"/>
        <v>118.97789472909295</v>
      </c>
      <c r="G45">
        <f t="shared" si="6"/>
        <v>7.42812535474122</v>
      </c>
    </row>
    <row r="46" spans="1:7" x14ac:dyDescent="0.25">
      <c r="A46" t="s">
        <v>274</v>
      </c>
      <c r="B46">
        <v>30.829321946169799</v>
      </c>
      <c r="C46">
        <v>44</v>
      </c>
      <c r="D46">
        <f t="shared" si="3"/>
        <v>36.641056936943784</v>
      </c>
      <c r="E46">
        <f t="shared" si="4"/>
        <v>33.776263602986695</v>
      </c>
      <c r="F46">
        <f t="shared" si="5"/>
        <v>71.886347929951825</v>
      </c>
      <c r="G46">
        <f t="shared" si="6"/>
        <v>7.1120714605864128</v>
      </c>
    </row>
    <row r="47" spans="1:7" x14ac:dyDescent="0.25">
      <c r="A47" t="s">
        <v>275</v>
      </c>
      <c r="B47">
        <v>34.371829710144901</v>
      </c>
      <c r="C47">
        <v>45</v>
      </c>
      <c r="D47">
        <f t="shared" si="3"/>
        <v>36.699668952902336</v>
      </c>
      <c r="E47">
        <f t="shared" si="4"/>
        <v>5.4188355401215063</v>
      </c>
      <c r="F47">
        <f t="shared" si="5"/>
        <v>24.3648260686277</v>
      </c>
      <c r="G47">
        <f t="shared" si="6"/>
        <v>6.8028883032610947</v>
      </c>
    </row>
    <row r="48" spans="1:7" x14ac:dyDescent="0.25">
      <c r="A48" t="s">
        <v>276</v>
      </c>
      <c r="B48">
        <v>35.751732829237497</v>
      </c>
      <c r="C48">
        <v>46</v>
      </c>
      <c r="D48">
        <f t="shared" si="3"/>
        <v>36.758280968860895</v>
      </c>
      <c r="E48">
        <f t="shared" si="4"/>
        <v>1.0131391573793229</v>
      </c>
      <c r="F48">
        <f t="shared" si="5"/>
        <v>12.646350999316011</v>
      </c>
      <c r="G48">
        <f t="shared" si="6"/>
        <v>6.500575882765192</v>
      </c>
    </row>
    <row r="49" spans="1:7" x14ac:dyDescent="0.25">
      <c r="A49" t="s">
        <v>277</v>
      </c>
      <c r="B49">
        <v>40.597373188405797</v>
      </c>
      <c r="C49">
        <v>47</v>
      </c>
      <c r="D49">
        <f t="shared" si="3"/>
        <v>36.816892984819447</v>
      </c>
      <c r="E49">
        <f t="shared" si="4"/>
        <v>14.292030569708292</v>
      </c>
      <c r="F49">
        <f t="shared" si="5"/>
        <v>1.6627316568005281</v>
      </c>
      <c r="G49">
        <f t="shared" si="6"/>
        <v>6.2051341990987767</v>
      </c>
    </row>
    <row r="50" spans="1:7" x14ac:dyDescent="0.25">
      <c r="A50" t="s">
        <v>278</v>
      </c>
      <c r="B50">
        <v>36.948251417769299</v>
      </c>
      <c r="C50">
        <v>48</v>
      </c>
      <c r="D50">
        <f t="shared" si="3"/>
        <v>36.875505000778006</v>
      </c>
      <c r="E50">
        <f t="shared" si="4"/>
        <v>5.2920411850711519E-3</v>
      </c>
      <c r="F50">
        <f t="shared" si="5"/>
        <v>5.5679587186962722</v>
      </c>
      <c r="G50">
        <f t="shared" si="6"/>
        <v>5.9165632522617786</v>
      </c>
    </row>
    <row r="51" spans="1:7" x14ac:dyDescent="0.25">
      <c r="A51" t="s">
        <v>279</v>
      </c>
      <c r="B51">
        <v>35.897727272727302</v>
      </c>
      <c r="C51">
        <v>49</v>
      </c>
      <c r="D51">
        <f t="shared" si="3"/>
        <v>36.934117016736558</v>
      </c>
      <c r="E51">
        <f t="shared" si="4"/>
        <v>1.0741037014875707</v>
      </c>
      <c r="F51">
        <f t="shared" si="5"/>
        <v>11.629303013169293</v>
      </c>
      <c r="G51">
        <f t="shared" si="6"/>
        <v>5.6348630422542669</v>
      </c>
    </row>
    <row r="52" spans="1:7" x14ac:dyDescent="0.25">
      <c r="A52" t="s">
        <v>280</v>
      </c>
      <c r="B52">
        <v>38.1875</v>
      </c>
      <c r="C52">
        <v>50</v>
      </c>
      <c r="D52">
        <f t="shared" si="3"/>
        <v>36.992729032695117</v>
      </c>
      <c r="E52">
        <f t="shared" si="4"/>
        <v>1.4274776643146467</v>
      </c>
      <c r="F52">
        <f t="shared" si="5"/>
        <v>1.25530436819391</v>
      </c>
      <c r="G52">
        <f t="shared" si="6"/>
        <v>5.3600335690761733</v>
      </c>
    </row>
    <row r="53" spans="1:7" x14ac:dyDescent="0.25">
      <c r="A53" t="s">
        <v>281</v>
      </c>
      <c r="B53">
        <v>39.318181818181799</v>
      </c>
      <c r="C53">
        <v>51</v>
      </c>
      <c r="D53">
        <f t="shared" si="3"/>
        <v>37.051341048653669</v>
      </c>
      <c r="E53">
        <f t="shared" si="4"/>
        <v>5.1385670743948859</v>
      </c>
      <c r="F53">
        <f t="shared" si="5"/>
        <v>1.0564047274771933E-4</v>
      </c>
      <c r="G53">
        <f t="shared" si="6"/>
        <v>5.0920748327275644</v>
      </c>
    </row>
    <row r="54" spans="1:7" x14ac:dyDescent="0.25">
      <c r="A54" t="s">
        <v>282</v>
      </c>
      <c r="B54">
        <v>38.840909090909101</v>
      </c>
      <c r="C54">
        <v>52</v>
      </c>
      <c r="D54">
        <f t="shared" si="3"/>
        <v>37.109953064612228</v>
      </c>
      <c r="E54">
        <f t="shared" si="4"/>
        <v>2.9962087649734612</v>
      </c>
      <c r="F54">
        <f t="shared" si="5"/>
        <v>0.21808393041658597</v>
      </c>
      <c r="G54">
        <f t="shared" si="6"/>
        <v>4.8309868332083754</v>
      </c>
    </row>
    <row r="55" spans="1:7" x14ac:dyDescent="0.25">
      <c r="A55" t="s">
        <v>283</v>
      </c>
      <c r="B55">
        <v>35.690476190476197</v>
      </c>
      <c r="C55">
        <v>53</v>
      </c>
      <c r="D55">
        <f t="shared" si="3"/>
        <v>37.168565080570779</v>
      </c>
      <c r="E55">
        <f t="shared" si="4"/>
        <v>2.1847467670210348</v>
      </c>
      <c r="F55">
        <f t="shared" si="5"/>
        <v>13.085781519389977</v>
      </c>
      <c r="G55">
        <f t="shared" si="6"/>
        <v>4.5767695705186702</v>
      </c>
    </row>
    <row r="56" spans="1:7" x14ac:dyDescent="0.25">
      <c r="A56" t="s">
        <v>284</v>
      </c>
      <c r="B56">
        <v>36.045454545454497</v>
      </c>
      <c r="C56">
        <v>54</v>
      </c>
      <c r="D56">
        <f t="shared" si="3"/>
        <v>37.227177096529331</v>
      </c>
      <c r="E56">
        <f t="shared" si="4"/>
        <v>1.3964681877188145</v>
      </c>
      <c r="F56">
        <f t="shared" si="5"/>
        <v>10.643574244952241</v>
      </c>
      <c r="G56">
        <f t="shared" si="6"/>
        <v>4.329423044658415</v>
      </c>
    </row>
    <row r="57" spans="1:7" x14ac:dyDescent="0.25">
      <c r="A57" t="s">
        <v>285</v>
      </c>
      <c r="B57">
        <v>36.2826086956522</v>
      </c>
      <c r="C57">
        <v>55</v>
      </c>
      <c r="D57">
        <f t="shared" si="3"/>
        <v>37.28578911248789</v>
      </c>
      <c r="E57">
        <f t="shared" si="4"/>
        <v>1.0063709487226287</v>
      </c>
      <c r="F57">
        <f t="shared" si="5"/>
        <v>9.1524096398111965</v>
      </c>
      <c r="G57">
        <f t="shared" si="6"/>
        <v>4.0889472556275832</v>
      </c>
    </row>
    <row r="58" spans="1:7" x14ac:dyDescent="0.25">
      <c r="A58" t="s">
        <v>286</v>
      </c>
      <c r="B58">
        <v>36.095238095238102</v>
      </c>
      <c r="C58">
        <v>56</v>
      </c>
      <c r="D58">
        <f t="shared" si="3"/>
        <v>37.344401128446449</v>
      </c>
      <c r="E58">
        <f t="shared" si="4"/>
        <v>1.560408283534279</v>
      </c>
      <c r="F58">
        <f t="shared" si="5"/>
        <v>10.321220050655908</v>
      </c>
      <c r="G58">
        <f t="shared" si="6"/>
        <v>3.8553422034262033</v>
      </c>
    </row>
    <row r="59" spans="1:7" x14ac:dyDescent="0.25">
      <c r="A59" t="s">
        <v>287</v>
      </c>
      <c r="B59">
        <v>37.056818181818201</v>
      </c>
      <c r="C59">
        <v>57</v>
      </c>
      <c r="D59">
        <f t="shared" si="3"/>
        <v>37.403013144405001</v>
      </c>
      <c r="E59">
        <f t="shared" si="4"/>
        <v>0.11985095212047596</v>
      </c>
      <c r="F59">
        <f t="shared" si="5"/>
        <v>5.0673858438488688</v>
      </c>
      <c r="G59">
        <f t="shared" si="6"/>
        <v>3.6286078880543036</v>
      </c>
    </row>
    <row r="60" spans="1:7" x14ac:dyDescent="0.25">
      <c r="A60" t="s">
        <v>288</v>
      </c>
      <c r="B60">
        <v>37.238636363636402</v>
      </c>
      <c r="C60">
        <v>58</v>
      </c>
      <c r="D60">
        <f t="shared" si="3"/>
        <v>37.461625160363553</v>
      </c>
      <c r="E60">
        <f t="shared" si="4"/>
        <v>4.9724003465822619E-2</v>
      </c>
      <c r="F60">
        <f t="shared" si="5"/>
        <v>4.2818671564557835</v>
      </c>
      <c r="G60">
        <f t="shared" si="6"/>
        <v>3.4087443095118553</v>
      </c>
    </row>
    <row r="61" spans="1:7" x14ac:dyDescent="0.25">
      <c r="A61" t="s">
        <v>289</v>
      </c>
      <c r="B61">
        <v>35.964285714285701</v>
      </c>
      <c r="C61">
        <v>59</v>
      </c>
      <c r="D61">
        <f t="shared" si="3"/>
        <v>37.520237176322112</v>
      </c>
      <c r="E61">
        <f t="shared" si="4"/>
        <v>2.4209849522132454</v>
      </c>
      <c r="F61">
        <f t="shared" si="5"/>
        <v>11.17978098735265</v>
      </c>
      <c r="G61">
        <f t="shared" si="6"/>
        <v>3.1957514677988321</v>
      </c>
    </row>
    <row r="62" spans="1:7" x14ac:dyDescent="0.25">
      <c r="A62" t="s">
        <v>290</v>
      </c>
      <c r="B62">
        <v>35.163043478260903</v>
      </c>
      <c r="C62">
        <v>60</v>
      </c>
      <c r="D62">
        <f t="shared" si="3"/>
        <v>37.578849192280671</v>
      </c>
      <c r="E62">
        <f t="shared" si="4"/>
        <v>5.836117247890563</v>
      </c>
      <c r="F62">
        <f t="shared" si="5"/>
        <v>17.179865951516689</v>
      </c>
      <c r="G62">
        <f t="shared" si="6"/>
        <v>2.9896293629152622</v>
      </c>
    </row>
    <row r="63" spans="1:7" x14ac:dyDescent="0.25">
      <c r="A63" t="s">
        <v>291</v>
      </c>
      <c r="B63">
        <v>34.690476190476197</v>
      </c>
      <c r="C63">
        <v>61</v>
      </c>
      <c r="D63">
        <f t="shared" si="3"/>
        <v>37.637461208239223</v>
      </c>
      <c r="E63">
        <f t="shared" si="4"/>
        <v>8.6847206949197453</v>
      </c>
      <c r="F63">
        <f t="shared" si="5"/>
        <v>21.320636464553697</v>
      </c>
      <c r="G63">
        <f t="shared" si="6"/>
        <v>2.7903779948611684</v>
      </c>
    </row>
    <row r="64" spans="1:7" x14ac:dyDescent="0.25">
      <c r="A64" t="s">
        <v>292</v>
      </c>
      <c r="B64">
        <v>34.007142857142902</v>
      </c>
      <c r="C64">
        <v>62</v>
      </c>
      <c r="D64">
        <f t="shared" si="3"/>
        <v>37.696073224197775</v>
      </c>
      <c r="E64">
        <f t="shared" si="4"/>
        <v>13.608207252979598</v>
      </c>
      <c r="F64">
        <f t="shared" si="5"/>
        <v>28.098065121526268</v>
      </c>
      <c r="G64">
        <f t="shared" si="6"/>
        <v>2.5979973636365257</v>
      </c>
    </row>
    <row r="65" spans="1:7" x14ac:dyDescent="0.25">
      <c r="A65" t="s">
        <v>293</v>
      </c>
      <c r="B65">
        <v>30.1065217391304</v>
      </c>
      <c r="C65">
        <v>63</v>
      </c>
      <c r="D65">
        <f t="shared" si="3"/>
        <v>37.754685240156334</v>
      </c>
      <c r="E65">
        <f t="shared" si="4"/>
        <v>58.494404938425269</v>
      </c>
      <c r="F65">
        <f t="shared" si="5"/>
        <v>84.665429309982613</v>
      </c>
      <c r="G65">
        <f t="shared" si="6"/>
        <v>2.4124874692413121</v>
      </c>
    </row>
    <row r="66" spans="1:7" x14ac:dyDescent="0.25">
      <c r="A66" t="s">
        <v>294</v>
      </c>
      <c r="B66">
        <v>27.816666666666698</v>
      </c>
      <c r="C66">
        <v>64</v>
      </c>
      <c r="D66">
        <f t="shared" si="3"/>
        <v>37.813297256114886</v>
      </c>
      <c r="E66">
        <f t="shared" si="4"/>
        <v>99.932623141891227</v>
      </c>
      <c r="F66">
        <f t="shared" si="5"/>
        <v>132.04852770723346</v>
      </c>
      <c r="G66">
        <f t="shared" si="6"/>
        <v>2.2338483116755725</v>
      </c>
    </row>
    <row r="67" spans="1:7" x14ac:dyDescent="0.25">
      <c r="A67" t="s">
        <v>295</v>
      </c>
      <c r="B67">
        <v>27.954545454545499</v>
      </c>
      <c r="C67">
        <v>65</v>
      </c>
      <c r="D67">
        <f t="shared" si="3"/>
        <v>37.871909272073445</v>
      </c>
      <c r="E67">
        <f t="shared" ref="E67:E98" si="7">(D67-B67)^2</f>
        <v>98.354105089212467</v>
      </c>
      <c r="F67">
        <f t="shared" ref="F67:F98" si="8">(B67-AVERAGE($B$3:$B$180))^2</f>
        <v>128.89874261079945</v>
      </c>
      <c r="G67">
        <f t="shared" ref="G67:G98" si="9">(D67-AVERAGE($B$3:$B$180))^2</f>
        <v>2.0620798909392635</v>
      </c>
    </row>
    <row r="68" spans="1:7" x14ac:dyDescent="0.25">
      <c r="A68" t="s">
        <v>296</v>
      </c>
      <c r="B68">
        <v>27.352272727272702</v>
      </c>
      <c r="C68">
        <v>66</v>
      </c>
      <c r="D68">
        <f t="shared" ref="D68:D131" si="10">$P$3*C68+$P$5</f>
        <v>37.930521288031997</v>
      </c>
      <c r="E68">
        <f t="shared" si="7"/>
        <v>111.8993426132061</v>
      </c>
      <c r="F68">
        <f t="shared" si="8"/>
        <v>142.93711107270778</v>
      </c>
      <c r="G68">
        <f t="shared" si="9"/>
        <v>1.8971822070324269</v>
      </c>
    </row>
    <row r="69" spans="1:7" x14ac:dyDescent="0.25">
      <c r="A69" t="s">
        <v>297</v>
      </c>
      <c r="B69">
        <v>25.845238095238098</v>
      </c>
      <c r="C69">
        <v>67</v>
      </c>
      <c r="D69">
        <f t="shared" si="10"/>
        <v>37.989133303990556</v>
      </c>
      <c r="E69">
        <f t="shared" si="7"/>
        <v>147.47419084116089</v>
      </c>
      <c r="F69">
        <f t="shared" si="8"/>
        <v>181.24336419096505</v>
      </c>
      <c r="G69">
        <f t="shared" si="9"/>
        <v>1.7391552599550228</v>
      </c>
    </row>
    <row r="70" spans="1:7" x14ac:dyDescent="0.25">
      <c r="A70" t="s">
        <v>298</v>
      </c>
      <c r="B70">
        <v>25.902173913043502</v>
      </c>
      <c r="C70">
        <v>68</v>
      </c>
      <c r="D70">
        <f t="shared" si="10"/>
        <v>38.047745319949108</v>
      </c>
      <c r="E70">
        <f t="shared" si="7"/>
        <v>147.51490480024304</v>
      </c>
      <c r="F70">
        <f t="shared" si="8"/>
        <v>179.7135901304253</v>
      </c>
      <c r="G70">
        <f t="shared" si="9"/>
        <v>1.5879990497070893</v>
      </c>
    </row>
    <row r="71" spans="1:7" x14ac:dyDescent="0.25">
      <c r="A71" t="s">
        <v>299</v>
      </c>
      <c r="B71">
        <v>24.875</v>
      </c>
      <c r="C71">
        <v>69</v>
      </c>
      <c r="D71">
        <f t="shared" si="10"/>
        <v>38.106357335907667</v>
      </c>
      <c r="E71">
        <f t="shared" si="7"/>
        <v>175.06881695047764</v>
      </c>
      <c r="F71">
        <f t="shared" si="8"/>
        <v>208.30870814711466</v>
      </c>
      <c r="G71">
        <f t="shared" si="9"/>
        <v>1.4437135762885895</v>
      </c>
    </row>
    <row r="72" spans="1:7" x14ac:dyDescent="0.25">
      <c r="A72" t="s">
        <v>300</v>
      </c>
      <c r="B72">
        <v>21.488095238095202</v>
      </c>
      <c r="C72">
        <v>70</v>
      </c>
      <c r="D72">
        <f t="shared" si="10"/>
        <v>38.164969351866219</v>
      </c>
      <c r="E72">
        <f t="shared" si="7"/>
        <v>278.11813020656587</v>
      </c>
      <c r="F72">
        <f t="shared" si="8"/>
        <v>317.54557230237714</v>
      </c>
      <c r="G72">
        <f t="shared" si="9"/>
        <v>1.3062988396995592</v>
      </c>
    </row>
    <row r="73" spans="1:7" x14ac:dyDescent="0.25">
      <c r="A73" t="s">
        <v>301</v>
      </c>
      <c r="B73">
        <v>18.568181818181799</v>
      </c>
      <c r="C73">
        <v>71</v>
      </c>
      <c r="D73">
        <f t="shared" si="10"/>
        <v>38.223581367824778</v>
      </c>
      <c r="E73">
        <f t="shared" si="7"/>
        <v>386.33473145610543</v>
      </c>
      <c r="F73">
        <f t="shared" si="8"/>
        <v>430.13606220283742</v>
      </c>
      <c r="G73">
        <f t="shared" si="9"/>
        <v>1.1757548399399642</v>
      </c>
    </row>
    <row r="74" spans="1:7" x14ac:dyDescent="0.25">
      <c r="A74" t="s">
        <v>302</v>
      </c>
      <c r="B74">
        <v>19.215909090909101</v>
      </c>
      <c r="C74">
        <v>72</v>
      </c>
      <c r="D74">
        <f t="shared" si="10"/>
        <v>38.28219338378333</v>
      </c>
      <c r="E74">
        <f t="shared" si="7"/>
        <v>363.52319673670257</v>
      </c>
      <c r="F74">
        <f t="shared" si="8"/>
        <v>403.68824588726307</v>
      </c>
      <c r="G74">
        <f t="shared" si="9"/>
        <v>1.0520815770098366</v>
      </c>
    </row>
    <row r="75" spans="1:7" x14ac:dyDescent="0.25">
      <c r="A75" t="s">
        <v>303</v>
      </c>
      <c r="B75">
        <v>22.170454545454501</v>
      </c>
      <c r="C75">
        <v>73</v>
      </c>
      <c r="D75">
        <f t="shared" si="10"/>
        <v>38.340805399741889</v>
      </c>
      <c r="E75">
        <f t="shared" si="7"/>
        <v>261.48024675075288</v>
      </c>
      <c r="F75">
        <f t="shared" si="8"/>
        <v>293.69216225845088</v>
      </c>
      <c r="G75">
        <f t="shared" si="9"/>
        <v>0.93527905090914654</v>
      </c>
    </row>
    <row r="76" spans="1:7" x14ac:dyDescent="0.25">
      <c r="A76" t="s">
        <v>304</v>
      </c>
      <c r="B76">
        <v>25.15</v>
      </c>
      <c r="C76">
        <v>74</v>
      </c>
      <c r="D76">
        <f t="shared" si="10"/>
        <v>38.399417415700441</v>
      </c>
      <c r="E76">
        <f t="shared" si="7"/>
        <v>175.54706185546618</v>
      </c>
      <c r="F76">
        <f t="shared" si="8"/>
        <v>200.44623613243277</v>
      </c>
      <c r="G76">
        <f t="shared" si="9"/>
        <v>0.82534726163792194</v>
      </c>
    </row>
    <row r="77" spans="1:7" x14ac:dyDescent="0.25">
      <c r="A77" t="s">
        <v>305</v>
      </c>
      <c r="B77">
        <v>24.6413043478261</v>
      </c>
      <c r="C77">
        <v>75</v>
      </c>
      <c r="D77">
        <f t="shared" si="10"/>
        <v>38.458029431659</v>
      </c>
      <c r="E77">
        <f t="shared" si="7"/>
        <v>190.90189204221724</v>
      </c>
      <c r="F77">
        <f t="shared" si="8"/>
        <v>215.10913547356247</v>
      </c>
      <c r="G77">
        <f t="shared" si="9"/>
        <v>0.7222862091961364</v>
      </c>
    </row>
    <row r="78" spans="1:7" x14ac:dyDescent="0.25">
      <c r="A78" t="s">
        <v>306</v>
      </c>
      <c r="B78">
        <v>23.25</v>
      </c>
      <c r="C78">
        <v>76</v>
      </c>
      <c r="D78">
        <f t="shared" si="10"/>
        <v>38.516641447617552</v>
      </c>
      <c r="E78">
        <f t="shared" si="7"/>
        <v>233.07034109011414</v>
      </c>
      <c r="F78">
        <f t="shared" si="8"/>
        <v>257.85627005205333</v>
      </c>
      <c r="G78">
        <f t="shared" si="9"/>
        <v>0.6260958935838149</v>
      </c>
    </row>
    <row r="79" spans="1:7" x14ac:dyDescent="0.25">
      <c r="A79" t="s">
        <v>307</v>
      </c>
      <c r="B79">
        <v>21.6413043478261</v>
      </c>
      <c r="C79">
        <v>77</v>
      </c>
      <c r="D79">
        <f t="shared" si="10"/>
        <v>38.575253463576111</v>
      </c>
      <c r="E79">
        <f t="shared" si="7"/>
        <v>286.75863265481058</v>
      </c>
      <c r="F79">
        <f t="shared" si="8"/>
        <v>312.10873136495422</v>
      </c>
      <c r="G79">
        <f t="shared" si="9"/>
        <v>0.53677631480093413</v>
      </c>
    </row>
    <row r="80" spans="1:7" x14ac:dyDescent="0.25">
      <c r="A80" t="s">
        <v>308</v>
      </c>
      <c r="B80">
        <v>19.75</v>
      </c>
      <c r="C80">
        <v>78</v>
      </c>
      <c r="D80">
        <f t="shared" si="10"/>
        <v>38.633865479534663</v>
      </c>
      <c r="E80">
        <f t="shared" si="7"/>
        <v>356.60037544916088</v>
      </c>
      <c r="F80">
        <f t="shared" si="8"/>
        <v>382.51159569345975</v>
      </c>
      <c r="G80">
        <f t="shared" si="9"/>
        <v>0.45432747284751562</v>
      </c>
    </row>
    <row r="81" spans="1:7" x14ac:dyDescent="0.25">
      <c r="A81" t="s">
        <v>309</v>
      </c>
      <c r="B81">
        <v>20.3642857142857</v>
      </c>
      <c r="C81">
        <v>79</v>
      </c>
      <c r="D81">
        <f t="shared" si="10"/>
        <v>38.692477495493222</v>
      </c>
      <c r="E81">
        <f t="shared" si="7"/>
        <v>335.92261396872294</v>
      </c>
      <c r="F81">
        <f t="shared" si="8"/>
        <v>358.86066098905019</v>
      </c>
      <c r="G81">
        <f t="shared" si="9"/>
        <v>0.37874936772353945</v>
      </c>
    </row>
    <row r="82" spans="1:7" x14ac:dyDescent="0.25">
      <c r="A82" t="s">
        <v>310</v>
      </c>
      <c r="B82">
        <v>20.406521739130401</v>
      </c>
      <c r="C82">
        <v>80</v>
      </c>
      <c r="D82">
        <f t="shared" si="10"/>
        <v>38.751089511451774</v>
      </c>
      <c r="E82">
        <f t="shared" si="7"/>
        <v>336.52316675329195</v>
      </c>
      <c r="F82">
        <f t="shared" si="8"/>
        <v>357.26223863417908</v>
      </c>
      <c r="G82">
        <f t="shared" si="9"/>
        <v>0.310041999429024</v>
      </c>
    </row>
    <row r="83" spans="1:7" x14ac:dyDescent="0.25">
      <c r="A83" t="s">
        <v>311</v>
      </c>
      <c r="B83">
        <v>20.428571428571399</v>
      </c>
      <c r="C83">
        <v>81</v>
      </c>
      <c r="D83">
        <f t="shared" si="10"/>
        <v>38.809701527410333</v>
      </c>
      <c r="E83">
        <f t="shared" si="7"/>
        <v>337.86594371044259</v>
      </c>
      <c r="F83">
        <f t="shared" si="8"/>
        <v>356.42918562012699</v>
      </c>
      <c r="G83">
        <f t="shared" si="9"/>
        <v>0.24820536796395248</v>
      </c>
    </row>
    <row r="84" spans="1:7" x14ac:dyDescent="0.25">
      <c r="A84" t="s">
        <v>312</v>
      </c>
      <c r="B84">
        <v>20.234090909090899</v>
      </c>
      <c r="C84">
        <v>82</v>
      </c>
      <c r="D84">
        <f t="shared" si="10"/>
        <v>38.868313543368885</v>
      </c>
      <c r="E84">
        <f t="shared" si="7"/>
        <v>347.23425318383801</v>
      </c>
      <c r="F84">
        <f t="shared" si="8"/>
        <v>363.81033297340019</v>
      </c>
      <c r="G84">
        <f t="shared" si="9"/>
        <v>0.19323947332834002</v>
      </c>
    </row>
    <row r="85" spans="1:7" x14ac:dyDescent="0.25">
      <c r="A85" t="s">
        <v>313</v>
      </c>
      <c r="B85">
        <v>22.345454545454501</v>
      </c>
      <c r="C85">
        <v>83</v>
      </c>
      <c r="D85">
        <f t="shared" si="10"/>
        <v>38.926925559327444</v>
      </c>
      <c r="E85">
        <f t="shared" si="7"/>
        <v>274.94518098390859</v>
      </c>
      <c r="F85">
        <f t="shared" si="8"/>
        <v>287.72468006728963</v>
      </c>
      <c r="G85">
        <f t="shared" si="9"/>
        <v>0.14514431552217325</v>
      </c>
    </row>
    <row r="86" spans="1:7" x14ac:dyDescent="0.25">
      <c r="A86" t="s">
        <v>314</v>
      </c>
      <c r="B86">
        <v>24.6904761904762</v>
      </c>
      <c r="C86">
        <v>84</v>
      </c>
      <c r="D86">
        <f t="shared" si="10"/>
        <v>38.985537575285996</v>
      </c>
      <c r="E86">
        <f t="shared" si="7"/>
        <v>204.34877999548013</v>
      </c>
      <c r="F86">
        <f t="shared" si="8"/>
        <v>213.66918591619077</v>
      </c>
      <c r="G86">
        <f t="shared" si="9"/>
        <v>0.10391989454546377</v>
      </c>
    </row>
    <row r="87" spans="1:7" x14ac:dyDescent="0.25">
      <c r="A87" t="s">
        <v>315</v>
      </c>
      <c r="B87">
        <v>23.369565217391301</v>
      </c>
      <c r="C87">
        <v>85</v>
      </c>
      <c r="D87">
        <f t="shared" si="10"/>
        <v>39.044149591244555</v>
      </c>
      <c r="E87">
        <f t="shared" si="7"/>
        <v>245.6925952930446</v>
      </c>
      <c r="F87">
        <f t="shared" si="8"/>
        <v>254.03063240861894</v>
      </c>
      <c r="G87">
        <f t="shared" si="9"/>
        <v>6.9566210398201656E-2</v>
      </c>
    </row>
    <row r="88" spans="1:7" x14ac:dyDescent="0.25">
      <c r="A88" t="s">
        <v>316</v>
      </c>
      <c r="B88">
        <v>21.762499999999999</v>
      </c>
      <c r="C88">
        <v>86</v>
      </c>
      <c r="D88">
        <f t="shared" si="10"/>
        <v>39.102761607203107</v>
      </c>
      <c r="E88">
        <f t="shared" si="7"/>
        <v>300.68467260624209</v>
      </c>
      <c r="F88">
        <f t="shared" si="8"/>
        <v>307.84118969965107</v>
      </c>
      <c r="G88">
        <f t="shared" si="9"/>
        <v>4.2083263080395214E-2</v>
      </c>
    </row>
    <row r="89" spans="1:7" x14ac:dyDescent="0.25">
      <c r="A89" t="s">
        <v>317</v>
      </c>
      <c r="B89">
        <v>21.727272727272702</v>
      </c>
      <c r="C89">
        <v>87</v>
      </c>
      <c r="D89">
        <f t="shared" si="10"/>
        <v>39.161373623161666</v>
      </c>
      <c r="E89">
        <f t="shared" si="7"/>
        <v>303.9478740480364</v>
      </c>
      <c r="F89">
        <f t="shared" si="8"/>
        <v>309.07858410029303</v>
      </c>
      <c r="G89">
        <f t="shared" si="9"/>
        <v>2.1471052592037781E-2</v>
      </c>
    </row>
    <row r="90" spans="1:7" x14ac:dyDescent="0.25">
      <c r="A90" t="s">
        <v>318</v>
      </c>
      <c r="B90">
        <v>20.845238095238098</v>
      </c>
      <c r="C90">
        <v>88</v>
      </c>
      <c r="D90">
        <f t="shared" si="10"/>
        <v>39.219985639120218</v>
      </c>
      <c r="E90">
        <f t="shared" si="7"/>
        <v>337.63134730140195</v>
      </c>
      <c r="F90">
        <f t="shared" si="8"/>
        <v>340.87001986916465</v>
      </c>
      <c r="G90">
        <f t="shared" si="9"/>
        <v>7.729578933134351E-3</v>
      </c>
    </row>
    <row r="91" spans="1:7" x14ac:dyDescent="0.25">
      <c r="A91" t="s">
        <v>319</v>
      </c>
      <c r="B91">
        <v>21.978260869565201</v>
      </c>
      <c r="C91">
        <v>89</v>
      </c>
      <c r="D91">
        <f t="shared" si="10"/>
        <v>39.278597655078777</v>
      </c>
      <c r="E91">
        <f t="shared" si="7"/>
        <v>299.30165289219423</v>
      </c>
      <c r="F91">
        <f t="shared" si="8"/>
        <v>300.31651935005885</v>
      </c>
      <c r="G91">
        <f t="shared" si="9"/>
        <v>8.5884210368159452E-4</v>
      </c>
    </row>
    <row r="92" spans="1:7" x14ac:dyDescent="0.25">
      <c r="A92" t="s">
        <v>320</v>
      </c>
      <c r="B92">
        <v>23.071428571428601</v>
      </c>
      <c r="C92">
        <v>90</v>
      </c>
      <c r="D92">
        <f t="shared" si="10"/>
        <v>39.337209671037328</v>
      </c>
      <c r="E92">
        <f t="shared" si="7"/>
        <v>264.5756347803885</v>
      </c>
      <c r="F92">
        <f t="shared" si="8"/>
        <v>263.62312340110373</v>
      </c>
      <c r="G92">
        <f t="shared" si="9"/>
        <v>8.5884210368117808E-4</v>
      </c>
    </row>
    <row r="93" spans="1:7" x14ac:dyDescent="0.25">
      <c r="A93" t="s">
        <v>321</v>
      </c>
      <c r="B93">
        <v>23.4159090909091</v>
      </c>
      <c r="C93">
        <v>91</v>
      </c>
      <c r="D93">
        <f t="shared" si="10"/>
        <v>39.395821686995887</v>
      </c>
      <c r="E93">
        <f t="shared" si="7"/>
        <v>255.35760657857318</v>
      </c>
      <c r="F93">
        <f t="shared" si="8"/>
        <v>252.55549148121187</v>
      </c>
      <c r="G93">
        <f t="shared" si="9"/>
        <v>7.7295789331331011E-3</v>
      </c>
    </row>
    <row r="94" spans="1:7" x14ac:dyDescent="0.25">
      <c r="A94" t="s">
        <v>322</v>
      </c>
      <c r="B94">
        <v>26.047826086956501</v>
      </c>
      <c r="C94">
        <v>92</v>
      </c>
      <c r="D94">
        <f t="shared" si="10"/>
        <v>39.454433702954439</v>
      </c>
      <c r="E94">
        <f t="shared" si="7"/>
        <v>179.73712776933391</v>
      </c>
      <c r="F94">
        <f t="shared" si="8"/>
        <v>175.82965732423128</v>
      </c>
      <c r="G94">
        <f t="shared" si="9"/>
        <v>2.1471052592035699E-2</v>
      </c>
    </row>
    <row r="95" spans="1:7" x14ac:dyDescent="0.25">
      <c r="A95" t="s">
        <v>323</v>
      </c>
      <c r="B95">
        <v>27.107500000000002</v>
      </c>
      <c r="C95">
        <v>93</v>
      </c>
      <c r="D95">
        <f t="shared" si="10"/>
        <v>39.513045718912998</v>
      </c>
      <c r="E95">
        <f t="shared" si="7"/>
        <v>153.89756458404059</v>
      </c>
      <c r="F95">
        <f t="shared" si="8"/>
        <v>148.84984954156039</v>
      </c>
      <c r="G95">
        <f t="shared" si="9"/>
        <v>4.20832630803923E-2</v>
      </c>
    </row>
    <row r="96" spans="1:7" x14ac:dyDescent="0.25">
      <c r="A96" t="s">
        <v>324</v>
      </c>
      <c r="B96">
        <v>27.508695652173898</v>
      </c>
      <c r="C96">
        <v>94</v>
      </c>
      <c r="D96">
        <f t="shared" si="10"/>
        <v>39.57165773487155</v>
      </c>
      <c r="E96">
        <f t="shared" si="7"/>
        <v>145.51505420860127</v>
      </c>
      <c r="F96">
        <f t="shared" si="8"/>
        <v>139.2213096841129</v>
      </c>
      <c r="G96">
        <f t="shared" si="9"/>
        <v>6.9566210398197909E-2</v>
      </c>
    </row>
    <row r="97" spans="1:7" x14ac:dyDescent="0.25">
      <c r="A97" t="s">
        <v>325</v>
      </c>
      <c r="B97">
        <v>28.934090909090902</v>
      </c>
      <c r="C97">
        <v>95</v>
      </c>
      <c r="D97">
        <f t="shared" si="10"/>
        <v>39.630269750830109</v>
      </c>
      <c r="E97">
        <f t="shared" si="7"/>
        <v>114.40824181446951</v>
      </c>
      <c r="F97">
        <f t="shared" si="8"/>
        <v>107.61599105437161</v>
      </c>
      <c r="G97">
        <f t="shared" si="9"/>
        <v>0.10391989454545919</v>
      </c>
    </row>
    <row r="98" spans="1:7" x14ac:dyDescent="0.25">
      <c r="A98" t="s">
        <v>326</v>
      </c>
      <c r="B98">
        <v>28.761904761904798</v>
      </c>
      <c r="C98">
        <v>96</v>
      </c>
      <c r="D98">
        <f t="shared" si="10"/>
        <v>39.688881766788661</v>
      </c>
      <c r="E98">
        <f t="shared" si="7"/>
        <v>119.39882646526071</v>
      </c>
      <c r="F98">
        <f t="shared" si="8"/>
        <v>111.21809282312572</v>
      </c>
      <c r="G98">
        <f t="shared" si="9"/>
        <v>0.1451443155221678</v>
      </c>
    </row>
    <row r="99" spans="1:7" x14ac:dyDescent="0.25">
      <c r="A99" t="s">
        <v>327</v>
      </c>
      <c r="B99">
        <v>28.710869565217401</v>
      </c>
      <c r="C99">
        <v>97</v>
      </c>
      <c r="D99">
        <f t="shared" si="10"/>
        <v>39.74749378274722</v>
      </c>
      <c r="E99">
        <f t="shared" ref="E99:E130" si="11">(D99-B99)^2</f>
        <v>121.8070741189657</v>
      </c>
      <c r="F99">
        <f t="shared" ref="F99:F130" si="12">(B99-AVERAGE($B$3:$B$180))^2</f>
        <v>112.29713167079751</v>
      </c>
      <c r="G99">
        <f t="shared" ref="G99:G130" si="13">(D99-AVERAGE($B$3:$B$180))^2</f>
        <v>0.19323947332833377</v>
      </c>
    </row>
    <row r="100" spans="1:7" x14ac:dyDescent="0.25">
      <c r="A100" t="s">
        <v>328</v>
      </c>
      <c r="B100">
        <v>28.645</v>
      </c>
      <c r="C100">
        <v>98</v>
      </c>
      <c r="D100">
        <f t="shared" si="10"/>
        <v>39.806105798705772</v>
      </c>
      <c r="E100">
        <f t="shared" si="11"/>
        <v>124.57028264990362</v>
      </c>
      <c r="F100">
        <f t="shared" si="12"/>
        <v>113.69751452765692</v>
      </c>
      <c r="G100">
        <f t="shared" si="13"/>
        <v>0.24820536796394541</v>
      </c>
    </row>
    <row r="101" spans="1:7" x14ac:dyDescent="0.25">
      <c r="A101" t="s">
        <v>329</v>
      </c>
      <c r="B101">
        <v>27.202380952380999</v>
      </c>
      <c r="C101">
        <v>99</v>
      </c>
      <c r="D101">
        <f t="shared" si="10"/>
        <v>39.864717814664331</v>
      </c>
      <c r="E101">
        <f t="shared" si="11"/>
        <v>160.3347748139393</v>
      </c>
      <c r="F101">
        <f t="shared" si="12"/>
        <v>146.543680098718</v>
      </c>
      <c r="G101">
        <f t="shared" si="13"/>
        <v>0.31004199942901606</v>
      </c>
    </row>
    <row r="102" spans="1:7" x14ac:dyDescent="0.25">
      <c r="A102" t="s">
        <v>330</v>
      </c>
      <c r="B102">
        <v>25.704545454545499</v>
      </c>
      <c r="C102">
        <v>100</v>
      </c>
      <c r="D102">
        <f t="shared" si="10"/>
        <v>39.923329830622883</v>
      </c>
      <c r="E102">
        <f t="shared" si="11"/>
        <v>202.17382913338233</v>
      </c>
      <c r="F102">
        <f t="shared" si="12"/>
        <v>185.05135454910595</v>
      </c>
      <c r="G102">
        <f t="shared" si="13"/>
        <v>0.37874936772353068</v>
      </c>
    </row>
    <row r="103" spans="1:7" x14ac:dyDescent="0.25">
      <c r="A103" t="s">
        <v>331</v>
      </c>
      <c r="B103">
        <v>24.684782608695599</v>
      </c>
      <c r="C103">
        <v>101</v>
      </c>
      <c r="D103">
        <f t="shared" si="10"/>
        <v>39.981941846581442</v>
      </c>
      <c r="E103">
        <f t="shared" si="11"/>
        <v>234.0030807492362</v>
      </c>
      <c r="F103">
        <f t="shared" si="12"/>
        <v>213.83566937053857</v>
      </c>
      <c r="G103">
        <f t="shared" si="13"/>
        <v>0.45432747284750602</v>
      </c>
    </row>
    <row r="104" spans="1:7" x14ac:dyDescent="0.25">
      <c r="A104" t="s">
        <v>332</v>
      </c>
      <c r="B104">
        <v>24.475000000000001</v>
      </c>
      <c r="C104">
        <v>102</v>
      </c>
      <c r="D104">
        <f t="shared" si="10"/>
        <v>40.040553862539994</v>
      </c>
      <c r="E104">
        <f t="shared" si="11"/>
        <v>242.28646704763369</v>
      </c>
      <c r="F104">
        <f t="shared" si="12"/>
        <v>220.01503107756105</v>
      </c>
      <c r="G104">
        <f t="shared" si="13"/>
        <v>0.53677631480092369</v>
      </c>
    </row>
    <row r="105" spans="1:7" x14ac:dyDescent="0.25">
      <c r="A105" t="s">
        <v>333</v>
      </c>
      <c r="B105">
        <v>25.228260869565201</v>
      </c>
      <c r="C105">
        <v>103</v>
      </c>
      <c r="D105">
        <f t="shared" si="10"/>
        <v>40.099165878498553</v>
      </c>
      <c r="E105">
        <f t="shared" si="11"/>
        <v>221.14381578471907</v>
      </c>
      <c r="F105">
        <f t="shared" si="12"/>
        <v>198.2363411923553</v>
      </c>
      <c r="G105">
        <f t="shared" si="13"/>
        <v>0.62609589358380369</v>
      </c>
    </row>
    <row r="106" spans="1:7" x14ac:dyDescent="0.25">
      <c r="A106" t="s">
        <v>334</v>
      </c>
      <c r="B106">
        <v>25.284090909090899</v>
      </c>
      <c r="C106">
        <v>104</v>
      </c>
      <c r="D106">
        <f t="shared" si="10"/>
        <v>40.157777894457105</v>
      </c>
      <c r="E106">
        <f t="shared" si="11"/>
        <v>221.22656453865204</v>
      </c>
      <c r="F106">
        <f t="shared" si="12"/>
        <v>196.66732415833189</v>
      </c>
      <c r="G106">
        <f t="shared" si="13"/>
        <v>0.72228620919612441</v>
      </c>
    </row>
    <row r="107" spans="1:7" x14ac:dyDescent="0.25">
      <c r="A107" t="s">
        <v>335</v>
      </c>
      <c r="B107">
        <v>25.4119047619048</v>
      </c>
      <c r="C107">
        <v>105</v>
      </c>
      <c r="D107">
        <f t="shared" si="10"/>
        <v>40.216389910415664</v>
      </c>
      <c r="E107">
        <f t="shared" si="11"/>
        <v>219.17278051247874</v>
      </c>
      <c r="F107">
        <f t="shared" si="12"/>
        <v>193.0987854608525</v>
      </c>
      <c r="G107">
        <f t="shared" si="13"/>
        <v>0.82534726163790906</v>
      </c>
    </row>
    <row r="108" spans="1:7" x14ac:dyDescent="0.25">
      <c r="A108" t="s">
        <v>336</v>
      </c>
      <c r="B108">
        <v>24.917391304347799</v>
      </c>
      <c r="C108">
        <v>106</v>
      </c>
      <c r="D108">
        <f t="shared" si="10"/>
        <v>40.275001926374216</v>
      </c>
      <c r="E108">
        <f t="shared" si="11"/>
        <v>235.85620401777865</v>
      </c>
      <c r="F108">
        <f t="shared" si="12"/>
        <v>207.08684594619265</v>
      </c>
      <c r="G108">
        <f t="shared" si="13"/>
        <v>0.93527905090913277</v>
      </c>
    </row>
    <row r="109" spans="1:7" x14ac:dyDescent="0.25">
      <c r="A109" t="s">
        <v>337</v>
      </c>
      <c r="B109">
        <v>24.988095238095202</v>
      </c>
      <c r="C109">
        <v>107</v>
      </c>
      <c r="D109">
        <f t="shared" si="10"/>
        <v>40.333613942332775</v>
      </c>
      <c r="E109">
        <f t="shared" si="11"/>
        <v>235.48494430210522</v>
      </c>
      <c r="F109">
        <f t="shared" si="12"/>
        <v>205.05691332763715</v>
      </c>
      <c r="G109">
        <f t="shared" si="13"/>
        <v>1.0520815770098222</v>
      </c>
    </row>
    <row r="110" spans="1:7" x14ac:dyDescent="0.25">
      <c r="A110" t="s">
        <v>338</v>
      </c>
      <c r="B110">
        <v>25.625</v>
      </c>
      <c r="C110">
        <v>108</v>
      </c>
      <c r="D110">
        <f t="shared" si="10"/>
        <v>40.392225958291327</v>
      </c>
      <c r="E110">
        <f t="shared" si="11"/>
        <v>218.0709625032332</v>
      </c>
      <c r="F110">
        <f t="shared" si="12"/>
        <v>187.22185265252756</v>
      </c>
      <c r="G110">
        <f t="shared" si="13"/>
        <v>1.1757548399399489</v>
      </c>
    </row>
    <row r="111" spans="1:7" x14ac:dyDescent="0.25">
      <c r="A111" t="s">
        <v>339</v>
      </c>
      <c r="B111">
        <v>24.6413043478261</v>
      </c>
      <c r="C111">
        <v>109</v>
      </c>
      <c r="D111">
        <f t="shared" si="10"/>
        <v>40.450837974249879</v>
      </c>
      <c r="E111">
        <f t="shared" si="11"/>
        <v>249.94135348502419</v>
      </c>
      <c r="F111">
        <f t="shared" si="12"/>
        <v>215.10913547356247</v>
      </c>
      <c r="G111">
        <f t="shared" si="13"/>
        <v>1.3062988396995265</v>
      </c>
    </row>
    <row r="112" spans="1:7" x14ac:dyDescent="0.25">
      <c r="A112" t="s">
        <v>340</v>
      </c>
      <c r="B112">
        <v>24.6875</v>
      </c>
      <c r="C112">
        <v>110</v>
      </c>
      <c r="D112">
        <f t="shared" si="10"/>
        <v>40.509449990208438</v>
      </c>
      <c r="E112">
        <f t="shared" si="11"/>
        <v>250.3341014926568</v>
      </c>
      <c r="F112">
        <f t="shared" si="12"/>
        <v>213.75620327076143</v>
      </c>
      <c r="G112">
        <f t="shared" si="13"/>
        <v>1.4437135762885727</v>
      </c>
    </row>
    <row r="113" spans="1:7" x14ac:dyDescent="0.25">
      <c r="A113" t="s">
        <v>341</v>
      </c>
      <c r="B113">
        <v>24.6613636363636</v>
      </c>
      <c r="C113">
        <v>111</v>
      </c>
      <c r="D113">
        <f t="shared" si="10"/>
        <v>40.568062006166997</v>
      </c>
      <c r="E113">
        <f t="shared" si="11"/>
        <v>253.02305302790606</v>
      </c>
      <c r="F113">
        <f t="shared" si="12"/>
        <v>214.52113475356285</v>
      </c>
      <c r="G113">
        <f t="shared" si="13"/>
        <v>1.5879990497070713</v>
      </c>
    </row>
    <row r="114" spans="1:7" x14ac:dyDescent="0.25">
      <c r="A114" t="s">
        <v>342</v>
      </c>
      <c r="B114">
        <v>29.9636363636364</v>
      </c>
      <c r="C114">
        <v>112</v>
      </c>
      <c r="D114">
        <f t="shared" si="10"/>
        <v>40.626674022125549</v>
      </c>
      <c r="E114">
        <f t="shared" si="11"/>
        <v>113.70037210635775</v>
      </c>
      <c r="F114">
        <f t="shared" si="12"/>
        <v>87.315331363040883</v>
      </c>
      <c r="G114">
        <f t="shared" si="13"/>
        <v>1.739155259955004</v>
      </c>
    </row>
    <row r="115" spans="1:7" x14ac:dyDescent="0.25">
      <c r="A115" t="s">
        <v>343</v>
      </c>
      <c r="B115">
        <v>33.511904761904802</v>
      </c>
      <c r="C115">
        <v>113</v>
      </c>
      <c r="D115">
        <f t="shared" si="10"/>
        <v>40.685286038084101</v>
      </c>
      <c r="E115">
        <f t="shared" si="11"/>
        <v>51.457398933439748</v>
      </c>
      <c r="F115">
        <f t="shared" si="12"/>
        <v>33.593603262169729</v>
      </c>
      <c r="G115">
        <f t="shared" si="13"/>
        <v>1.8971822070323878</v>
      </c>
    </row>
    <row r="116" spans="1:7" x14ac:dyDescent="0.25">
      <c r="A116" t="s">
        <v>344</v>
      </c>
      <c r="B116">
        <v>33.088636363636397</v>
      </c>
      <c r="C116">
        <v>114</v>
      </c>
      <c r="D116">
        <f t="shared" si="10"/>
        <v>40.74389805404266</v>
      </c>
      <c r="E116">
        <f t="shared" si="11"/>
        <v>58.603031548601756</v>
      </c>
      <c r="F116">
        <f t="shared" si="12"/>
        <v>38.679285741655576</v>
      </c>
      <c r="G116">
        <f t="shared" si="13"/>
        <v>2.062079890939243</v>
      </c>
    </row>
    <row r="117" spans="1:7" x14ac:dyDescent="0.25">
      <c r="A117" t="s">
        <v>345</v>
      </c>
      <c r="B117">
        <v>32.360869565217399</v>
      </c>
      <c r="C117">
        <v>115</v>
      </c>
      <c r="D117">
        <f t="shared" si="10"/>
        <v>40.802510070001219</v>
      </c>
      <c r="E117">
        <f t="shared" si="11"/>
        <v>71.261294412006819</v>
      </c>
      <c r="F117">
        <f t="shared" si="12"/>
        <v>48.261282756560746</v>
      </c>
      <c r="G117">
        <f t="shared" si="13"/>
        <v>2.2338483116755512</v>
      </c>
    </row>
    <row r="118" spans="1:7" x14ac:dyDescent="0.25">
      <c r="A118" t="s">
        <v>346</v>
      </c>
      <c r="B118">
        <v>31.376190476190501</v>
      </c>
      <c r="C118">
        <v>116</v>
      </c>
      <c r="D118">
        <f t="shared" si="10"/>
        <v>40.861122085959771</v>
      </c>
      <c r="E118">
        <f t="shared" si="11"/>
        <v>89.963927642000257</v>
      </c>
      <c r="F118">
        <f t="shared" si="12"/>
        <v>62.912074078728658</v>
      </c>
      <c r="G118">
        <f t="shared" si="13"/>
        <v>2.4124874692412899</v>
      </c>
    </row>
    <row r="119" spans="1:7" x14ac:dyDescent="0.25">
      <c r="A119" t="s">
        <v>347</v>
      </c>
      <c r="B119">
        <v>29.981818181818198</v>
      </c>
      <c r="C119">
        <v>117</v>
      </c>
      <c r="D119">
        <f t="shared" si="10"/>
        <v>40.919734101918323</v>
      </c>
      <c r="E119">
        <f t="shared" si="11"/>
        <v>119.63800467517974</v>
      </c>
      <c r="F119">
        <f t="shared" si="12"/>
        <v>86.975870403392875</v>
      </c>
      <c r="G119">
        <f t="shared" si="13"/>
        <v>2.5979973636364799</v>
      </c>
    </row>
    <row r="120" spans="1:7" x14ac:dyDescent="0.25">
      <c r="A120" t="s">
        <v>348</v>
      </c>
      <c r="B120">
        <v>29.636363636363601</v>
      </c>
      <c r="C120">
        <v>118</v>
      </c>
      <c r="D120">
        <f t="shared" si="10"/>
        <v>40.978346117876882</v>
      </c>
      <c r="E120">
        <f t="shared" si="11"/>
        <v>128.64056661095415</v>
      </c>
      <c r="F120">
        <f t="shared" si="12"/>
        <v>93.538686487952972</v>
      </c>
      <c r="G120">
        <f t="shared" si="13"/>
        <v>2.7903779948611445</v>
      </c>
    </row>
    <row r="121" spans="1:7" x14ac:dyDescent="0.25">
      <c r="A121" t="s">
        <v>349</v>
      </c>
      <c r="B121">
        <v>29.485714285714302</v>
      </c>
      <c r="C121">
        <v>119</v>
      </c>
      <c r="D121">
        <f t="shared" si="10"/>
        <v>41.036958133835441</v>
      </c>
      <c r="E121">
        <f t="shared" si="11"/>
        <v>133.43123443875646</v>
      </c>
      <c r="F121">
        <f t="shared" si="12"/>
        <v>96.475404164404495</v>
      </c>
      <c r="G121">
        <f t="shared" si="13"/>
        <v>2.9896293629152622</v>
      </c>
    </row>
    <row r="122" spans="1:7" x14ac:dyDescent="0.25">
      <c r="A122" t="s">
        <v>350</v>
      </c>
      <c r="B122">
        <v>29.773913043478299</v>
      </c>
      <c r="C122">
        <v>120</v>
      </c>
      <c r="D122">
        <f t="shared" si="10"/>
        <v>41.095570149793993</v>
      </c>
      <c r="E122">
        <f t="shared" si="11"/>
        <v>128.17991963298866</v>
      </c>
      <c r="F122">
        <f t="shared" si="12"/>
        <v>90.896977134234803</v>
      </c>
      <c r="G122">
        <f t="shared" si="13"/>
        <v>3.1957514677988068</v>
      </c>
    </row>
    <row r="123" spans="1:7" x14ac:dyDescent="0.25">
      <c r="A123" t="s">
        <v>351</v>
      </c>
      <c r="B123">
        <v>29.8571428571429</v>
      </c>
      <c r="C123">
        <v>121</v>
      </c>
      <c r="D123">
        <f t="shared" si="10"/>
        <v>41.154182165752545</v>
      </c>
      <c r="E123">
        <f t="shared" si="11"/>
        <v>127.62309714027147</v>
      </c>
      <c r="F123">
        <f t="shared" si="12"/>
        <v>89.316879810622083</v>
      </c>
      <c r="G123">
        <f t="shared" si="13"/>
        <v>3.4087443095118024</v>
      </c>
    </row>
    <row r="124" spans="1:7" x14ac:dyDescent="0.25">
      <c r="A124" t="s">
        <v>352</v>
      </c>
      <c r="B124">
        <v>28.662500000000001</v>
      </c>
      <c r="C124">
        <v>122</v>
      </c>
      <c r="D124">
        <f t="shared" si="10"/>
        <v>41.212794181711104</v>
      </c>
      <c r="E124">
        <f t="shared" si="11"/>
        <v>157.50988404749154</v>
      </c>
      <c r="F124">
        <f t="shared" si="12"/>
        <v>113.32461914944984</v>
      </c>
      <c r="G124">
        <f t="shared" si="13"/>
        <v>3.6286078880542765</v>
      </c>
    </row>
    <row r="125" spans="1:7" x14ac:dyDescent="0.25">
      <c r="A125" t="s">
        <v>353</v>
      </c>
      <c r="B125">
        <v>28.334782608695701</v>
      </c>
      <c r="C125">
        <v>123</v>
      </c>
      <c r="D125">
        <f t="shared" si="10"/>
        <v>41.271406197669656</v>
      </c>
      <c r="E125">
        <f t="shared" si="11"/>
        <v>167.35622988279738</v>
      </c>
      <c r="F125">
        <f t="shared" si="12"/>
        <v>120.40938567369041</v>
      </c>
      <c r="G125">
        <f t="shared" si="13"/>
        <v>3.8553422034261757</v>
      </c>
    </row>
    <row r="126" spans="1:7" x14ac:dyDescent="0.25">
      <c r="A126" t="s">
        <v>354</v>
      </c>
      <c r="B126">
        <v>29.7522727272727</v>
      </c>
      <c r="C126">
        <v>124</v>
      </c>
      <c r="D126">
        <f t="shared" si="10"/>
        <v>41.330018213628215</v>
      </c>
      <c r="E126">
        <f t="shared" si="11"/>
        <v>134.04419054682549</v>
      </c>
      <c r="F126">
        <f t="shared" si="12"/>
        <v>91.310082580938115</v>
      </c>
      <c r="G126">
        <f t="shared" si="13"/>
        <v>4.0889472556275539</v>
      </c>
    </row>
    <row r="127" spans="1:7" x14ac:dyDescent="0.25">
      <c r="A127" t="s">
        <v>355</v>
      </c>
      <c r="B127">
        <v>30.257142857142899</v>
      </c>
      <c r="C127">
        <v>125</v>
      </c>
      <c r="D127">
        <f t="shared" si="10"/>
        <v>41.388630229586767</v>
      </c>
      <c r="E127">
        <f t="shared" si="11"/>
        <v>123.91001112287728</v>
      </c>
      <c r="F127">
        <f t="shared" si="12"/>
        <v>81.916271165889981</v>
      </c>
      <c r="G127">
        <f t="shared" si="13"/>
        <v>4.3294230446583564</v>
      </c>
    </row>
    <row r="128" spans="1:7" x14ac:dyDescent="0.25">
      <c r="A128" t="s">
        <v>356</v>
      </c>
      <c r="B128">
        <v>32.142105263157902</v>
      </c>
      <c r="C128">
        <v>126</v>
      </c>
      <c r="D128">
        <f t="shared" si="10"/>
        <v>41.447242245545326</v>
      </c>
      <c r="E128">
        <f t="shared" si="11"/>
        <v>86.585574260994136</v>
      </c>
      <c r="F128">
        <f t="shared" si="12"/>
        <v>51.348666708011613</v>
      </c>
      <c r="G128">
        <f t="shared" si="13"/>
        <v>4.57676957051864</v>
      </c>
    </row>
    <row r="129" spans="1:7" x14ac:dyDescent="0.25">
      <c r="A129" t="s">
        <v>357</v>
      </c>
      <c r="B129">
        <v>32.338636363636397</v>
      </c>
      <c r="C129">
        <v>127</v>
      </c>
      <c r="D129">
        <f t="shared" si="10"/>
        <v>41.505854261503877</v>
      </c>
      <c r="E129">
        <f t="shared" si="11"/>
        <v>84.037883986981868</v>
      </c>
      <c r="F129">
        <f t="shared" si="12"/>
        <v>48.570686690788065</v>
      </c>
      <c r="G129">
        <f t="shared" si="13"/>
        <v>4.8309868332083443</v>
      </c>
    </row>
    <row r="130" spans="1:7" x14ac:dyDescent="0.25">
      <c r="A130" t="s">
        <v>358</v>
      </c>
      <c r="B130">
        <v>32.147727272727302</v>
      </c>
      <c r="C130">
        <v>128</v>
      </c>
      <c r="D130">
        <f t="shared" si="10"/>
        <v>41.564466277462436</v>
      </c>
      <c r="E130">
        <f t="shared" si="11"/>
        <v>88.67497348330005</v>
      </c>
      <c r="F130">
        <f t="shared" si="12"/>
        <v>51.268125940649952</v>
      </c>
      <c r="G130">
        <f t="shared" si="13"/>
        <v>5.0920748327275325</v>
      </c>
    </row>
    <row r="131" spans="1:7" x14ac:dyDescent="0.25">
      <c r="A131" t="s">
        <v>359</v>
      </c>
      <c r="B131">
        <v>45.078125</v>
      </c>
      <c r="C131">
        <v>129</v>
      </c>
      <c r="D131">
        <f t="shared" si="10"/>
        <v>41.623078293420988</v>
      </c>
      <c r="E131">
        <f t="shared" ref="E131:E162" si="14">(D131-B131)^2</f>
        <v>11.937347744642475</v>
      </c>
      <c r="F131">
        <f t="shared" ref="F131:F162" si="15">(B131-AVERAGE($B$3:$B$180))^2</f>
        <v>33.295454277300074</v>
      </c>
      <c r="G131">
        <f t="shared" ref="G131:G162" si="16">(D131-AVERAGE($B$3:$B$180))^2</f>
        <v>5.3600335690761405</v>
      </c>
    </row>
    <row r="132" spans="1:7" x14ac:dyDescent="0.25">
      <c r="A132" t="s">
        <v>360</v>
      </c>
      <c r="B132">
        <v>38.476190476190503</v>
      </c>
      <c r="C132">
        <v>130</v>
      </c>
      <c r="D132">
        <f t="shared" ref="D132:D180" si="17">$P$3*C132+$P$5</f>
        <v>41.681690309379547</v>
      </c>
      <c r="E132">
        <f t="shared" si="14"/>
        <v>10.275229180574993</v>
      </c>
      <c r="F132">
        <f t="shared" si="15"/>
        <v>0.69174682520938136</v>
      </c>
      <c r="G132">
        <f t="shared" si="16"/>
        <v>5.6348630422542332</v>
      </c>
    </row>
    <row r="133" spans="1:7" x14ac:dyDescent="0.25">
      <c r="A133" t="s">
        <v>361</v>
      </c>
      <c r="B133">
        <v>31.099584036972999</v>
      </c>
      <c r="C133">
        <v>131</v>
      </c>
      <c r="D133">
        <f t="shared" si="17"/>
        <v>41.740302325338099</v>
      </c>
      <c r="E133">
        <f t="shared" si="14"/>
        <v>113.22488569234751</v>
      </c>
      <c r="F133">
        <f t="shared" si="15"/>
        <v>67.376511083973128</v>
      </c>
      <c r="G133">
        <f t="shared" si="16"/>
        <v>5.916563252261744</v>
      </c>
    </row>
    <row r="134" spans="1:7" x14ac:dyDescent="0.25">
      <c r="A134" t="s">
        <v>362</v>
      </c>
      <c r="B134">
        <v>36.129303027444998</v>
      </c>
      <c r="C134">
        <v>132</v>
      </c>
      <c r="D134">
        <f t="shared" si="17"/>
        <v>41.798914341296658</v>
      </c>
      <c r="E134">
        <f t="shared" si="14"/>
        <v>32.144492450154758</v>
      </c>
      <c r="F134">
        <f t="shared" si="15"/>
        <v>10.10350200071974</v>
      </c>
      <c r="G134">
        <f t="shared" si="16"/>
        <v>6.2051341990987412</v>
      </c>
    </row>
    <row r="135" spans="1:7" x14ac:dyDescent="0.25">
      <c r="A135" t="s">
        <v>363</v>
      </c>
      <c r="B135">
        <v>36.872921185827899</v>
      </c>
      <c r="C135">
        <v>133</v>
      </c>
      <c r="D135">
        <f t="shared" si="17"/>
        <v>41.85752635725521</v>
      </c>
      <c r="E135">
        <f t="shared" si="14"/>
        <v>24.846288715019899</v>
      </c>
      <c r="F135">
        <f t="shared" si="15"/>
        <v>5.9291396644179137</v>
      </c>
      <c r="G135">
        <f t="shared" si="16"/>
        <v>6.5005758827651556</v>
      </c>
    </row>
    <row r="136" spans="1:7" x14ac:dyDescent="0.25">
      <c r="A136" t="s">
        <v>364</v>
      </c>
      <c r="B136">
        <v>35.8319143167028</v>
      </c>
      <c r="C136">
        <v>134</v>
      </c>
      <c r="D136">
        <f t="shared" si="17"/>
        <v>41.916138373213769</v>
      </c>
      <c r="E136">
        <f t="shared" si="14"/>
        <v>37.01778236982679</v>
      </c>
      <c r="F136">
        <f t="shared" si="15"/>
        <v>12.082501935975239</v>
      </c>
      <c r="G136">
        <f t="shared" si="16"/>
        <v>6.8028883032610574</v>
      </c>
    </row>
    <row r="137" spans="1:7" x14ac:dyDescent="0.25">
      <c r="A137" t="s">
        <v>365</v>
      </c>
      <c r="B137">
        <v>45.514701028010897</v>
      </c>
      <c r="C137">
        <v>135</v>
      </c>
      <c r="D137">
        <f t="shared" si="17"/>
        <v>41.974750389172321</v>
      </c>
      <c r="E137">
        <f t="shared" si="14"/>
        <v>12.531250525413641</v>
      </c>
      <c r="F137">
        <f t="shared" si="15"/>
        <v>38.524333529585533</v>
      </c>
      <c r="G137">
        <f t="shared" si="16"/>
        <v>7.1120714605863746</v>
      </c>
    </row>
    <row r="138" spans="1:7" x14ac:dyDescent="0.25">
      <c r="A138" t="s">
        <v>366</v>
      </c>
      <c r="B138">
        <v>48.704730916227597</v>
      </c>
      <c r="C138">
        <v>136</v>
      </c>
      <c r="D138">
        <f t="shared" si="17"/>
        <v>42.03336240513088</v>
      </c>
      <c r="E138">
        <f t="shared" si="14"/>
        <v>44.507157810852817</v>
      </c>
      <c r="F138">
        <f t="shared" si="15"/>
        <v>88.30036242590981</v>
      </c>
      <c r="G138">
        <f t="shared" si="16"/>
        <v>7.4281253547411819</v>
      </c>
    </row>
    <row r="139" spans="1:7" x14ac:dyDescent="0.25">
      <c r="A139" t="s">
        <v>367</v>
      </c>
      <c r="B139">
        <v>40.891626405048299</v>
      </c>
      <c r="C139">
        <v>137</v>
      </c>
      <c r="D139">
        <f t="shared" si="17"/>
        <v>42.091974421089432</v>
      </c>
      <c r="E139">
        <f t="shared" si="14"/>
        <v>1.4408353596138836</v>
      </c>
      <c r="F139">
        <f t="shared" si="15"/>
        <v>2.508177723497095</v>
      </c>
      <c r="G139">
        <f t="shared" si="16"/>
        <v>7.7510499857254018</v>
      </c>
    </row>
    <row r="140" spans="1:7" x14ac:dyDescent="0.25">
      <c r="A140" t="s">
        <v>368</v>
      </c>
      <c r="B140">
        <v>40.331517452179</v>
      </c>
      <c r="C140">
        <v>138</v>
      </c>
      <c r="D140">
        <f t="shared" si="17"/>
        <v>42.150586437047991</v>
      </c>
      <c r="E140">
        <f t="shared" si="14"/>
        <v>3.309011971712303</v>
      </c>
      <c r="F140">
        <f t="shared" si="15"/>
        <v>1.0477851892785359</v>
      </c>
      <c r="G140">
        <f t="shared" si="16"/>
        <v>8.0808453535391127</v>
      </c>
    </row>
    <row r="141" spans="1:7" x14ac:dyDescent="0.25">
      <c r="A141" t="s">
        <v>369</v>
      </c>
      <c r="B141">
        <v>38.939159177770797</v>
      </c>
      <c r="C141">
        <v>139</v>
      </c>
      <c r="D141">
        <f t="shared" si="17"/>
        <v>42.209198453006543</v>
      </c>
      <c r="E141">
        <f t="shared" si="14"/>
        <v>10.693156861584322</v>
      </c>
      <c r="F141">
        <f t="shared" si="15"/>
        <v>0.13597249542976542</v>
      </c>
      <c r="G141">
        <f t="shared" si="16"/>
        <v>8.4175114581822363</v>
      </c>
    </row>
    <row r="142" spans="1:7" x14ac:dyDescent="0.25">
      <c r="A142" t="s">
        <v>370</v>
      </c>
      <c r="B142">
        <v>39.802308308969103</v>
      </c>
      <c r="C142">
        <v>140</v>
      </c>
      <c r="D142">
        <f t="shared" si="17"/>
        <v>42.267810468965102</v>
      </c>
      <c r="E142">
        <f t="shared" si="14"/>
        <v>6.0787009009449386</v>
      </c>
      <c r="F142">
        <f t="shared" si="15"/>
        <v>0.24443595389842748</v>
      </c>
      <c r="G142">
        <f t="shared" si="16"/>
        <v>8.7610482996548527</v>
      </c>
    </row>
    <row r="143" spans="1:7" x14ac:dyDescent="0.25">
      <c r="A143" t="s">
        <v>371</v>
      </c>
      <c r="B143">
        <v>40.950391934529598</v>
      </c>
      <c r="C143">
        <v>141</v>
      </c>
      <c r="D143">
        <f t="shared" si="17"/>
        <v>42.326422484923654</v>
      </c>
      <c r="E143">
        <f t="shared" si="14"/>
        <v>1.893460075617768</v>
      </c>
      <c r="F143">
        <f t="shared" si="15"/>
        <v>2.6977677219215748</v>
      </c>
      <c r="G143">
        <f t="shared" si="16"/>
        <v>9.1114558779568782</v>
      </c>
    </row>
    <row r="144" spans="1:7" x14ac:dyDescent="0.25">
      <c r="A144" t="s">
        <v>372</v>
      </c>
      <c r="B144">
        <v>41.303597252349903</v>
      </c>
      <c r="C144">
        <v>142</v>
      </c>
      <c r="D144">
        <f t="shared" si="17"/>
        <v>42.385034500882213</v>
      </c>
      <c r="E144">
        <f t="shared" si="14"/>
        <v>1.1695065225131343</v>
      </c>
      <c r="F144">
        <f t="shared" si="15"/>
        <v>3.9827929023405737</v>
      </c>
      <c r="G144">
        <f t="shared" si="16"/>
        <v>9.4687341930883981</v>
      </c>
    </row>
    <row r="145" spans="1:7" x14ac:dyDescent="0.25">
      <c r="A145" t="s">
        <v>373</v>
      </c>
      <c r="B145">
        <v>40.954064780122202</v>
      </c>
      <c r="C145">
        <v>143</v>
      </c>
      <c r="D145">
        <f t="shared" si="17"/>
        <v>42.443646516840765</v>
      </c>
      <c r="E145">
        <f t="shared" si="14"/>
        <v>2.2188537503654899</v>
      </c>
      <c r="F145">
        <f t="shared" si="15"/>
        <v>2.7098464233338775</v>
      </c>
      <c r="G145">
        <f t="shared" si="16"/>
        <v>9.8328832450493273</v>
      </c>
    </row>
    <row r="146" spans="1:7" x14ac:dyDescent="0.25">
      <c r="A146" t="s">
        <v>374</v>
      </c>
      <c r="B146">
        <v>39.178243936107201</v>
      </c>
      <c r="C146">
        <v>144</v>
      </c>
      <c r="D146">
        <f t="shared" si="17"/>
        <v>42.502258532799324</v>
      </c>
      <c r="E146">
        <f t="shared" si="14"/>
        <v>11.049073039022298</v>
      </c>
      <c r="F146">
        <f t="shared" si="15"/>
        <v>1.6811644792970343E-2</v>
      </c>
      <c r="G146">
        <f t="shared" si="16"/>
        <v>10.203903033839753</v>
      </c>
    </row>
    <row r="147" spans="1:7" x14ac:dyDescent="0.25">
      <c r="A147" t="s">
        <v>375</v>
      </c>
      <c r="B147">
        <v>40.063399723920199</v>
      </c>
      <c r="C147">
        <v>145</v>
      </c>
      <c r="D147">
        <f t="shared" si="17"/>
        <v>42.560870548757876</v>
      </c>
      <c r="E147">
        <f t="shared" si="14"/>
        <v>6.2373605209153871</v>
      </c>
      <c r="F147">
        <f t="shared" si="15"/>
        <v>0.57077429797821466</v>
      </c>
      <c r="G147">
        <f t="shared" si="16"/>
        <v>10.581793559459586</v>
      </c>
    </row>
    <row r="148" spans="1:7" x14ac:dyDescent="0.25">
      <c r="A148" t="s">
        <v>376</v>
      </c>
      <c r="B148">
        <v>41.314370932754798</v>
      </c>
      <c r="C148">
        <v>146</v>
      </c>
      <c r="D148">
        <f t="shared" si="17"/>
        <v>42.619482564716435</v>
      </c>
      <c r="E148">
        <f t="shared" si="14"/>
        <v>1.7033163718815671</v>
      </c>
      <c r="F148">
        <f t="shared" si="15"/>
        <v>4.0259109043642987</v>
      </c>
      <c r="G148">
        <f t="shared" si="16"/>
        <v>10.966554821908916</v>
      </c>
    </row>
    <row r="149" spans="1:7" x14ac:dyDescent="0.25">
      <c r="A149" t="s">
        <v>377</v>
      </c>
      <c r="B149">
        <v>40.741523004909098</v>
      </c>
      <c r="C149">
        <v>147</v>
      </c>
      <c r="D149">
        <f t="shared" si="17"/>
        <v>42.678094580674987</v>
      </c>
      <c r="E149">
        <f t="shared" si="14"/>
        <v>3.7503094680643785</v>
      </c>
      <c r="F149">
        <f t="shared" si="15"/>
        <v>2.0552644173294143</v>
      </c>
      <c r="G149">
        <f t="shared" si="16"/>
        <v>11.358186821187651</v>
      </c>
    </row>
    <row r="150" spans="1:7" x14ac:dyDescent="0.25">
      <c r="A150" t="s">
        <v>378</v>
      </c>
      <c r="B150">
        <v>41.762017353579097</v>
      </c>
      <c r="C150">
        <v>148</v>
      </c>
      <c r="D150">
        <f t="shared" si="17"/>
        <v>42.736706596633546</v>
      </c>
      <c r="E150">
        <f t="shared" si="14"/>
        <v>0.95001912052605508</v>
      </c>
      <c r="F150">
        <f t="shared" si="15"/>
        <v>6.022674006002803</v>
      </c>
      <c r="G150">
        <f t="shared" si="16"/>
        <v>11.756689557295886</v>
      </c>
    </row>
    <row r="151" spans="1:7" x14ac:dyDescent="0.25">
      <c r="A151" t="s">
        <v>379</v>
      </c>
      <c r="B151">
        <v>43.462666226539497</v>
      </c>
      <c r="C151">
        <v>149</v>
      </c>
      <c r="D151">
        <f t="shared" si="17"/>
        <v>42.795318612592098</v>
      </c>
      <c r="E151">
        <f t="shared" si="14"/>
        <v>0.44535283784128676</v>
      </c>
      <c r="F151">
        <f t="shared" si="15"/>
        <v>17.262051958906873</v>
      </c>
      <c r="G151">
        <f t="shared" si="16"/>
        <v>12.162063030233524</v>
      </c>
    </row>
    <row r="152" spans="1:7" x14ac:dyDescent="0.25">
      <c r="A152" t="s">
        <v>380</v>
      </c>
      <c r="B152">
        <v>45.700483139420101</v>
      </c>
      <c r="C152">
        <v>150</v>
      </c>
      <c r="D152">
        <f t="shared" si="17"/>
        <v>42.853930628550657</v>
      </c>
      <c r="E152">
        <f t="shared" si="14"/>
        <v>8.102861197137134</v>
      </c>
      <c r="F152">
        <f t="shared" si="15"/>
        <v>40.865072361605229</v>
      </c>
      <c r="G152">
        <f t="shared" si="16"/>
        <v>12.574307240000664</v>
      </c>
    </row>
    <row r="153" spans="1:7" x14ac:dyDescent="0.25">
      <c r="A153" t="s">
        <v>381</v>
      </c>
      <c r="B153">
        <v>45.247533829149802</v>
      </c>
      <c r="C153">
        <v>151</v>
      </c>
      <c r="D153">
        <f t="shared" si="17"/>
        <v>42.912542644509209</v>
      </c>
      <c r="E153">
        <f t="shared" si="14"/>
        <v>5.4521838323492799</v>
      </c>
      <c r="F153">
        <f t="shared" si="15"/>
        <v>35.279206509947059</v>
      </c>
      <c r="G153">
        <f t="shared" si="16"/>
        <v>12.993422186597204</v>
      </c>
    </row>
    <row r="154" spans="1:7" x14ac:dyDescent="0.25">
      <c r="A154" t="s">
        <v>382</v>
      </c>
      <c r="B154">
        <v>46.377180986513103</v>
      </c>
      <c r="C154">
        <v>152</v>
      </c>
      <c r="D154">
        <f t="shared" si="17"/>
        <v>42.971154660467768</v>
      </c>
      <c r="E154">
        <f t="shared" si="14"/>
        <v>11.601015333713885</v>
      </c>
      <c r="F154">
        <f t="shared" si="15"/>
        <v>49.974681875915756</v>
      </c>
      <c r="G154">
        <f t="shared" si="16"/>
        <v>13.419407870023248</v>
      </c>
    </row>
    <row r="155" spans="1:7" x14ac:dyDescent="0.25">
      <c r="A155" t="s">
        <v>383</v>
      </c>
      <c r="B155">
        <v>53.202742485280297</v>
      </c>
      <c r="C155">
        <v>153</v>
      </c>
      <c r="D155">
        <f t="shared" si="17"/>
        <v>43.02976667642632</v>
      </c>
      <c r="E155">
        <f t="shared" si="14"/>
        <v>103.48943680752822</v>
      </c>
      <c r="F155">
        <f t="shared" si="15"/>
        <v>193.06654589553435</v>
      </c>
      <c r="G155">
        <f t="shared" si="16"/>
        <v>13.852264290278693</v>
      </c>
    </row>
    <row r="156" spans="1:7" x14ac:dyDescent="0.25">
      <c r="A156" t="s">
        <v>384</v>
      </c>
      <c r="B156">
        <v>57.646413429303799</v>
      </c>
      <c r="C156">
        <v>154</v>
      </c>
      <c r="D156">
        <f t="shared" si="17"/>
        <v>43.088378692384879</v>
      </c>
      <c r="E156">
        <f t="shared" si="14"/>
        <v>211.93637540133793</v>
      </c>
      <c r="F156">
        <f t="shared" si="15"/>
        <v>336.3009404466905</v>
      </c>
      <c r="G156">
        <f t="shared" si="16"/>
        <v>14.291991447363641</v>
      </c>
    </row>
    <row r="157" spans="1:7" x14ac:dyDescent="0.25">
      <c r="A157" t="s">
        <v>385</v>
      </c>
      <c r="B157">
        <v>62.285951981857501</v>
      </c>
      <c r="C157">
        <v>155</v>
      </c>
      <c r="D157">
        <f t="shared" si="17"/>
        <v>43.146990708343431</v>
      </c>
      <c r="E157">
        <f t="shared" si="14"/>
        <v>366.2998386290713</v>
      </c>
      <c r="F157">
        <f t="shared" si="15"/>
        <v>527.99070454108198</v>
      </c>
      <c r="G157">
        <f t="shared" si="16"/>
        <v>14.738589341277988</v>
      </c>
    </row>
    <row r="158" spans="1:7" x14ac:dyDescent="0.25">
      <c r="A158" t="s">
        <v>386</v>
      </c>
      <c r="B158">
        <v>70.059704575973399</v>
      </c>
      <c r="C158">
        <v>156</v>
      </c>
      <c r="D158">
        <f t="shared" si="17"/>
        <v>43.20560272430199</v>
      </c>
      <c r="E158">
        <f t="shared" si="14"/>
        <v>721.14278625994177</v>
      </c>
      <c r="F158">
        <f t="shared" si="15"/>
        <v>945.67325938758086</v>
      </c>
      <c r="G158">
        <f t="shared" si="16"/>
        <v>15.192057972021843</v>
      </c>
    </row>
    <row r="159" spans="1:7" x14ac:dyDescent="0.25">
      <c r="A159" t="s">
        <v>387</v>
      </c>
      <c r="B159">
        <v>80.363458455154102</v>
      </c>
      <c r="C159">
        <v>157</v>
      </c>
      <c r="D159">
        <f t="shared" si="17"/>
        <v>43.264214740260542</v>
      </c>
      <c r="E159">
        <f t="shared" si="14"/>
        <v>1376.3538842170694</v>
      </c>
      <c r="F159">
        <f t="shared" si="15"/>
        <v>1685.5585792868008</v>
      </c>
      <c r="G159">
        <f t="shared" si="16"/>
        <v>15.652397339595092</v>
      </c>
    </row>
    <row r="160" spans="1:7" x14ac:dyDescent="0.25">
      <c r="A160" t="s">
        <v>388</v>
      </c>
      <c r="B160">
        <v>81.318200599111506</v>
      </c>
      <c r="C160">
        <v>158</v>
      </c>
      <c r="D160">
        <f t="shared" si="17"/>
        <v>43.322826756219101</v>
      </c>
      <c r="E160">
        <f t="shared" si="14"/>
        <v>1443.6484334611523</v>
      </c>
      <c r="F160">
        <f t="shared" si="15"/>
        <v>1764.865048655382</v>
      </c>
      <c r="G160">
        <f t="shared" si="16"/>
        <v>16.11960744399785</v>
      </c>
    </row>
    <row r="161" spans="1:7" x14ac:dyDescent="0.25">
      <c r="A161" t="s">
        <v>389</v>
      </c>
      <c r="B161">
        <v>71.814275384774206</v>
      </c>
      <c r="C161">
        <v>159</v>
      </c>
      <c r="D161">
        <f t="shared" si="17"/>
        <v>43.381438772177653</v>
      </c>
      <c r="E161">
        <f t="shared" si="14"/>
        <v>808.42619783861107</v>
      </c>
      <c r="F161">
        <f t="shared" si="15"/>
        <v>1056.6642025103874</v>
      </c>
      <c r="G161">
        <f t="shared" si="16"/>
        <v>16.593688285230005</v>
      </c>
    </row>
    <row r="162" spans="1:7" x14ac:dyDescent="0.25">
      <c r="A162" t="s">
        <v>390</v>
      </c>
      <c r="B162">
        <v>71.638853283375894</v>
      </c>
      <c r="C162">
        <v>160</v>
      </c>
      <c r="D162">
        <f t="shared" si="17"/>
        <v>43.440050788136205</v>
      </c>
      <c r="E162">
        <f t="shared" si="14"/>
        <v>795.1724621655361</v>
      </c>
      <c r="F162">
        <f t="shared" si="15"/>
        <v>1045.2903033515302</v>
      </c>
      <c r="G162">
        <f t="shared" si="16"/>
        <v>17.074639863291608</v>
      </c>
    </row>
    <row r="163" spans="1:7" x14ac:dyDescent="0.25">
      <c r="A163" t="s">
        <v>391</v>
      </c>
      <c r="B163">
        <v>73.950190983683797</v>
      </c>
      <c r="C163">
        <v>161</v>
      </c>
      <c r="D163">
        <f t="shared" si="17"/>
        <v>43.498662804094764</v>
      </c>
      <c r="E163">
        <f t="shared" ref="E163:E180" si="18">(D163-B163)^2</f>
        <v>927.29556847230492</v>
      </c>
      <c r="F163">
        <f t="shared" ref="F163:F180" si="19">(B163-AVERAGE($B$3:$B$180))^2</f>
        <v>1200.0880708047869</v>
      </c>
      <c r="G163">
        <f t="shared" ref="G163:G180" si="20">(D163-AVERAGE($B$3:$B$180))^2</f>
        <v>17.562462178182724</v>
      </c>
    </row>
    <row r="164" spans="1:7" x14ac:dyDescent="0.25">
      <c r="A164" t="s">
        <v>392</v>
      </c>
      <c r="B164">
        <v>69.187228850325297</v>
      </c>
      <c r="C164">
        <v>162</v>
      </c>
      <c r="D164">
        <f t="shared" si="17"/>
        <v>43.557274820053323</v>
      </c>
      <c r="E164">
        <f t="shared" si="18"/>
        <v>656.89454359385468</v>
      </c>
      <c r="F164">
        <f t="shared" si="19"/>
        <v>892.77407364646263</v>
      </c>
      <c r="G164">
        <f t="shared" si="20"/>
        <v>18.057155229903291</v>
      </c>
    </row>
    <row r="165" spans="1:7" x14ac:dyDescent="0.25">
      <c r="A165" t="s">
        <v>393</v>
      </c>
      <c r="B165">
        <v>68.251850891257007</v>
      </c>
      <c r="C165">
        <v>163</v>
      </c>
      <c r="D165">
        <f t="shared" si="17"/>
        <v>43.615886836011875</v>
      </c>
      <c r="E165">
        <f t="shared" si="18"/>
        <v>606.93072493133025</v>
      </c>
      <c r="F165">
        <f t="shared" si="19"/>
        <v>837.75208114876568</v>
      </c>
      <c r="G165">
        <f t="shared" si="20"/>
        <v>18.55871901845325</v>
      </c>
    </row>
    <row r="166" spans="1:7" x14ac:dyDescent="0.25">
      <c r="A166" t="s">
        <v>394</v>
      </c>
      <c r="B166">
        <v>65.288503253795994</v>
      </c>
      <c r="C166">
        <v>164</v>
      </c>
      <c r="D166">
        <f t="shared" si="17"/>
        <v>43.674498851970426</v>
      </c>
      <c r="E166">
        <f t="shared" si="18"/>
        <v>467.16518628213504</v>
      </c>
      <c r="F166">
        <f t="shared" si="19"/>
        <v>674.99155509425236</v>
      </c>
      <c r="G166">
        <f t="shared" si="20"/>
        <v>19.06715354383266</v>
      </c>
    </row>
    <row r="167" spans="1:7" x14ac:dyDescent="0.25">
      <c r="A167" t="s">
        <v>395</v>
      </c>
      <c r="B167">
        <v>64.630539200495704</v>
      </c>
      <c r="C167">
        <v>165</v>
      </c>
      <c r="D167">
        <f t="shared" si="17"/>
        <v>43.733110867928985</v>
      </c>
      <c r="E167">
        <f t="shared" si="18"/>
        <v>436.70251091476223</v>
      </c>
      <c r="F167">
        <f t="shared" si="19"/>
        <v>641.23587056190013</v>
      </c>
      <c r="G167">
        <f t="shared" si="20"/>
        <v>19.582458806041583</v>
      </c>
    </row>
    <row r="168" spans="1:7" x14ac:dyDescent="0.25">
      <c r="A168" t="s">
        <v>396</v>
      </c>
      <c r="B168">
        <v>66.511081769310394</v>
      </c>
      <c r="C168">
        <v>166</v>
      </c>
      <c r="D168">
        <f t="shared" si="17"/>
        <v>43.791722883887545</v>
      </c>
      <c r="E168">
        <f t="shared" si="18"/>
        <v>516.16926816464218</v>
      </c>
      <c r="F168">
        <f t="shared" si="19"/>
        <v>740.01289908048648</v>
      </c>
      <c r="G168">
        <f t="shared" si="20"/>
        <v>20.104634805079961</v>
      </c>
    </row>
    <row r="169" spans="1:7" x14ac:dyDescent="0.25">
      <c r="A169" t="s">
        <v>397</v>
      </c>
      <c r="B169">
        <v>63.158777502324</v>
      </c>
      <c r="C169">
        <v>167</v>
      </c>
      <c r="D169">
        <f t="shared" si="17"/>
        <v>43.850334899846096</v>
      </c>
      <c r="E169">
        <f t="shared" si="18"/>
        <v>372.81595573318367</v>
      </c>
      <c r="F169">
        <f t="shared" si="19"/>
        <v>568.86418289658059</v>
      </c>
      <c r="G169">
        <f t="shared" si="20"/>
        <v>20.633681540947727</v>
      </c>
    </row>
    <row r="170" spans="1:7" x14ac:dyDescent="0.25">
      <c r="A170" t="s">
        <v>398</v>
      </c>
      <c r="B170">
        <v>60.219976336028303</v>
      </c>
      <c r="C170">
        <v>168</v>
      </c>
      <c r="D170">
        <f t="shared" si="17"/>
        <v>43.908946915804648</v>
      </c>
      <c r="E170">
        <f t="shared" si="18"/>
        <v>266.04968074740162</v>
      </c>
      <c r="F170">
        <f t="shared" si="19"/>
        <v>437.31478347958898</v>
      </c>
      <c r="G170">
        <f t="shared" si="20"/>
        <v>21.169599013644941</v>
      </c>
    </row>
    <row r="171" spans="1:7" x14ac:dyDescent="0.25">
      <c r="A171" t="s">
        <v>399</v>
      </c>
      <c r="B171">
        <v>58.9595515420163</v>
      </c>
      <c r="C171">
        <v>169</v>
      </c>
      <c r="D171">
        <f t="shared" si="17"/>
        <v>43.967558931763207</v>
      </c>
      <c r="E171">
        <f t="shared" si="18"/>
        <v>224.75984242588333</v>
      </c>
      <c r="F171">
        <f t="shared" si="19"/>
        <v>386.18726435856405</v>
      </c>
      <c r="G171">
        <f t="shared" si="20"/>
        <v>21.712387223171675</v>
      </c>
    </row>
    <row r="172" spans="1:7" x14ac:dyDescent="0.25">
      <c r="A172" t="s">
        <v>400</v>
      </c>
      <c r="B172">
        <v>54.315509761388199</v>
      </c>
      <c r="C172">
        <v>170</v>
      </c>
      <c r="D172">
        <f t="shared" si="17"/>
        <v>44.026170947721766</v>
      </c>
      <c r="E172">
        <f t="shared" si="18"/>
        <v>105.87049322242255</v>
      </c>
      <c r="F172">
        <f t="shared" si="19"/>
        <v>225.22824080263609</v>
      </c>
      <c r="G172">
        <f t="shared" si="20"/>
        <v>22.262046169527864</v>
      </c>
    </row>
    <row r="173" spans="1:7" x14ac:dyDescent="0.25">
      <c r="A173" t="s">
        <v>401</v>
      </c>
      <c r="B173">
        <v>51.834869848156103</v>
      </c>
      <c r="C173">
        <v>171</v>
      </c>
      <c r="D173">
        <f t="shared" si="17"/>
        <v>44.084782963680318</v>
      </c>
      <c r="E173">
        <f t="shared" si="18"/>
        <v>60.063846716923571</v>
      </c>
      <c r="F173">
        <f t="shared" si="19"/>
        <v>156.92488180258991</v>
      </c>
      <c r="G173">
        <f t="shared" si="20"/>
        <v>22.818575852713433</v>
      </c>
    </row>
    <row r="174" spans="1:7" x14ac:dyDescent="0.25">
      <c r="A174" t="s">
        <v>402</v>
      </c>
      <c r="B174">
        <v>52.685133602839599</v>
      </c>
      <c r="C174">
        <v>172</v>
      </c>
      <c r="D174">
        <f t="shared" si="17"/>
        <v>44.14339497963887</v>
      </c>
      <c r="E174">
        <f t="shared" si="18"/>
        <v>72.961298707079081</v>
      </c>
      <c r="F174">
        <f t="shared" si="19"/>
        <v>178.95028086178772</v>
      </c>
      <c r="G174">
        <f t="shared" si="20"/>
        <v>23.381976272728455</v>
      </c>
    </row>
    <row r="175" spans="1:7" x14ac:dyDescent="0.25">
      <c r="A175" t="s">
        <v>403</v>
      </c>
      <c r="B175">
        <v>57.305573358311896</v>
      </c>
      <c r="C175">
        <v>173</v>
      </c>
      <c r="D175">
        <f t="shared" si="17"/>
        <v>44.202006995597429</v>
      </c>
      <c r="E175">
        <f t="shared" si="18"/>
        <v>171.70345142206205</v>
      </c>
      <c r="F175">
        <f t="shared" si="19"/>
        <v>323.91611445945847</v>
      </c>
      <c r="G175">
        <f t="shared" si="20"/>
        <v>23.952247429572999</v>
      </c>
    </row>
    <row r="176" spans="1:7" x14ac:dyDescent="0.25">
      <c r="A176" t="s">
        <v>404</v>
      </c>
      <c r="B176">
        <v>59.576528767689197</v>
      </c>
      <c r="C176">
        <v>174</v>
      </c>
      <c r="D176">
        <f t="shared" si="17"/>
        <v>44.260619011555988</v>
      </c>
      <c r="E176">
        <f t="shared" si="18"/>
        <v>234.5770916580164</v>
      </c>
      <c r="F176">
        <f t="shared" si="19"/>
        <v>410.81716363208375</v>
      </c>
      <c r="G176">
        <f t="shared" si="20"/>
        <v>24.529389323246996</v>
      </c>
    </row>
    <row r="177" spans="1:7" x14ac:dyDescent="0.25">
      <c r="A177" t="s">
        <v>405</v>
      </c>
      <c r="B177">
        <v>58.9472554937281</v>
      </c>
      <c r="C177">
        <v>175</v>
      </c>
      <c r="D177">
        <f t="shared" si="17"/>
        <v>44.31923102751454</v>
      </c>
      <c r="E177">
        <f t="shared" si="18"/>
        <v>213.97909978414251</v>
      </c>
      <c r="F177">
        <f t="shared" si="19"/>
        <v>385.70414032884281</v>
      </c>
      <c r="G177">
        <f t="shared" si="20"/>
        <v>25.113401953750373</v>
      </c>
    </row>
    <row r="178" spans="1:7" x14ac:dyDescent="0.25">
      <c r="A178" t="s">
        <v>406</v>
      </c>
      <c r="B178">
        <v>58.966661501910799</v>
      </c>
      <c r="C178">
        <v>176</v>
      </c>
      <c r="D178">
        <f t="shared" si="17"/>
        <v>44.377843043473092</v>
      </c>
      <c r="E178">
        <f t="shared" si="18"/>
        <v>212.83362401325277</v>
      </c>
      <c r="F178">
        <f t="shared" si="19"/>
        <v>386.46675976665421</v>
      </c>
      <c r="G178">
        <f t="shared" si="20"/>
        <v>25.704285321083201</v>
      </c>
    </row>
    <row r="179" spans="1:7" x14ac:dyDescent="0.25">
      <c r="A179" t="s">
        <v>407</v>
      </c>
      <c r="B179">
        <v>62.875443699467397</v>
      </c>
      <c r="C179">
        <v>177</v>
      </c>
      <c r="D179">
        <f t="shared" si="17"/>
        <v>44.436455059431651</v>
      </c>
      <c r="E179">
        <f t="shared" si="18"/>
        <v>339.99630206736725</v>
      </c>
      <c r="F179">
        <f t="shared" si="19"/>
        <v>555.42894336775714</v>
      </c>
      <c r="G179">
        <f t="shared" si="20"/>
        <v>26.302039425245553</v>
      </c>
    </row>
    <row r="180" spans="1:7" x14ac:dyDescent="0.25">
      <c r="A180" t="s">
        <v>408</v>
      </c>
      <c r="B180">
        <v>63.958773460341298</v>
      </c>
      <c r="C180">
        <v>178</v>
      </c>
      <c r="D180">
        <f t="shared" si="17"/>
        <v>44.49506707539021</v>
      </c>
      <c r="E180">
        <f t="shared" si="18"/>
        <v>378.83586623958576</v>
      </c>
      <c r="F180">
        <f t="shared" si="19"/>
        <v>607.6653817626111</v>
      </c>
      <c r="G180">
        <f t="shared" si="20"/>
        <v>26.906664266237357</v>
      </c>
    </row>
    <row r="183" spans="1:7" x14ac:dyDescent="0.25">
      <c r="E183" s="9" t="s">
        <v>450</v>
      </c>
      <c r="F183" s="9" t="s">
        <v>451</v>
      </c>
      <c r="G183" s="9" t="s">
        <v>452</v>
      </c>
    </row>
    <row r="184" spans="1:7" x14ac:dyDescent="0.25">
      <c r="E184" s="27">
        <f>SUM(E3:E180)</f>
        <v>34446.330596919441</v>
      </c>
      <c r="F184" s="9">
        <f>SUM(F3:F180)</f>
        <v>36060.83179626194</v>
      </c>
      <c r="G184" s="9">
        <f>SUM(G3:G180)</f>
        <v>1614.5011993424755</v>
      </c>
    </row>
    <row r="185" spans="1:7" x14ac:dyDescent="0.25">
      <c r="E185" s="9"/>
      <c r="F185" s="10" t="s">
        <v>453</v>
      </c>
      <c r="G185" s="10">
        <f>G184/F184</f>
        <v>4.4771601732987047E-2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E8CD-9960-475D-AE6F-75E14E31048F}">
  <sheetPr>
    <tabColor rgb="FF0070C0"/>
  </sheetPr>
  <dimension ref="A1:Q184"/>
  <sheetViews>
    <sheetView topLeftCell="E13" zoomScaleNormal="100" workbookViewId="0">
      <selection activeCell="S44" sqref="S44"/>
    </sheetView>
  </sheetViews>
  <sheetFormatPr baseColWidth="10" defaultColWidth="9" defaultRowHeight="15" x14ac:dyDescent="0.25"/>
  <cols>
    <col min="1" max="1" width="13.140625" bestFit="1" customWidth="1"/>
    <col min="2" max="2" width="5.42578125" bestFit="1" customWidth="1"/>
    <col min="3" max="3" width="3.85546875" bestFit="1" customWidth="1"/>
    <col min="4" max="4" width="5.85546875" bestFit="1" customWidth="1"/>
    <col min="5" max="5" width="43.7109375" bestFit="1" customWidth="1"/>
    <col min="6" max="6" width="18.140625" bestFit="1" customWidth="1"/>
    <col min="7" max="7" width="18" bestFit="1" customWidth="1"/>
    <col min="8" max="8" width="17.7109375" bestFit="1" customWidth="1"/>
    <col min="9" max="15" width="1.42578125" bestFit="1" customWidth="1"/>
    <col min="16" max="16" width="46.140625" bestFit="1" customWidth="1"/>
    <col min="17" max="17" width="17.5703125" bestFit="1" customWidth="1"/>
  </cols>
  <sheetData>
    <row r="1" spans="1:17" x14ac:dyDescent="0.25">
      <c r="E1" s="10" t="s">
        <v>432</v>
      </c>
      <c r="F1" s="10" t="s">
        <v>434</v>
      </c>
      <c r="G1" s="10" t="s">
        <v>435</v>
      </c>
      <c r="H1" s="10" t="s">
        <v>433</v>
      </c>
    </row>
    <row r="2" spans="1:17" x14ac:dyDescent="0.25">
      <c r="A2" t="s">
        <v>0</v>
      </c>
      <c r="B2" t="s">
        <v>1</v>
      </c>
      <c r="C2" t="s">
        <v>2</v>
      </c>
      <c r="D2" t="s">
        <v>454</v>
      </c>
      <c r="E2" t="s">
        <v>455</v>
      </c>
      <c r="F2" s="7" t="s">
        <v>456</v>
      </c>
      <c r="G2" s="7" t="s">
        <v>439</v>
      </c>
      <c r="H2" s="7" t="s">
        <v>437</v>
      </c>
    </row>
    <row r="3" spans="1:17" x14ac:dyDescent="0.25">
      <c r="A3" t="s">
        <v>231</v>
      </c>
      <c r="B3" s="1">
        <v>63.875</v>
      </c>
      <c r="C3">
        <v>1</v>
      </c>
      <c r="D3">
        <f>C3^2</f>
        <v>1</v>
      </c>
      <c r="E3" s="1">
        <f>$Q$3*C3^2+$Q$5</f>
        <v>32.532585137777346</v>
      </c>
      <c r="F3" s="1">
        <f>(B3-$Q$11)^2</f>
        <v>603.54222242858623</v>
      </c>
      <c r="G3" s="1">
        <f t="shared" ref="G3:G8" si="0">(E3-$Q$11)^2</f>
        <v>45.904941119011973</v>
      </c>
      <c r="H3" s="1">
        <f>(B3-E3)^2</f>
        <v>982.3469693956755</v>
      </c>
      <c r="I3" t="s">
        <v>427</v>
      </c>
      <c r="L3" t="s">
        <v>427</v>
      </c>
      <c r="O3" t="s">
        <v>427</v>
      </c>
      <c r="P3" s="4" t="s">
        <v>440</v>
      </c>
      <c r="Q3" s="3">
        <f>SLOPE(B3:B180,D3:D180)</f>
        <v>6.3621001223350447E-4</v>
      </c>
    </row>
    <row r="4" spans="1:17" x14ac:dyDescent="0.25">
      <c r="A4" t="s">
        <v>232</v>
      </c>
      <c r="B4" s="1">
        <v>65</v>
      </c>
      <c r="C4">
        <v>2</v>
      </c>
      <c r="D4">
        <f t="shared" ref="D4:D67" si="1">C4^2</f>
        <v>4</v>
      </c>
      <c r="E4" s="1">
        <f t="shared" ref="E4:E67" si="2">$Q$3*C4^2+$Q$5</f>
        <v>32.534493767814048</v>
      </c>
      <c r="F4" s="1">
        <f t="shared" ref="F4:F67" si="3">(B4-$Q$11)^2</f>
        <v>660.08381418670569</v>
      </c>
      <c r="G4" s="1">
        <f t="shared" si="0"/>
        <v>45.879081608989438</v>
      </c>
      <c r="H4" s="1">
        <f>(B4-E4)^2</f>
        <v>1054.009094912105</v>
      </c>
      <c r="I4" t="s">
        <v>427</v>
      </c>
      <c r="L4" t="s">
        <v>427</v>
      </c>
      <c r="O4" t="s">
        <v>427</v>
      </c>
    </row>
    <row r="5" spans="1:17" x14ac:dyDescent="0.25">
      <c r="A5" t="s">
        <v>233</v>
      </c>
      <c r="B5" s="1">
        <v>63.5</v>
      </c>
      <c r="C5">
        <v>3</v>
      </c>
      <c r="D5">
        <f t="shared" si="1"/>
        <v>9</v>
      </c>
      <c r="E5" s="1">
        <f t="shared" si="2"/>
        <v>32.537674817875214</v>
      </c>
      <c r="F5" s="1">
        <f t="shared" si="3"/>
        <v>585.25752517587978</v>
      </c>
      <c r="G5" s="1">
        <f t="shared" si="0"/>
        <v>45.835998616145801</v>
      </c>
      <c r="H5" s="1">
        <f>(B5-E5)^2</f>
        <v>958.66558068363872</v>
      </c>
      <c r="I5" t="s">
        <v>427</v>
      </c>
      <c r="L5" t="s">
        <v>427</v>
      </c>
      <c r="M5" t="s">
        <v>427</v>
      </c>
      <c r="N5" t="s">
        <v>427</v>
      </c>
      <c r="O5" t="s">
        <v>427</v>
      </c>
      <c r="P5" s="2" t="s">
        <v>441</v>
      </c>
      <c r="Q5" s="3">
        <f>INTERCEPT(B3:B180,D3:D180)</f>
        <v>32.531948927765114</v>
      </c>
    </row>
    <row r="6" spans="1:17" x14ac:dyDescent="0.25">
      <c r="A6" t="s">
        <v>234</v>
      </c>
      <c r="B6" s="1">
        <v>57.821428571428598</v>
      </c>
      <c r="C6">
        <v>4</v>
      </c>
      <c r="D6">
        <f t="shared" si="1"/>
        <v>16</v>
      </c>
      <c r="E6" s="1">
        <f t="shared" si="2"/>
        <v>32.54212828796085</v>
      </c>
      <c r="F6" s="1">
        <f t="shared" si="3"/>
        <v>342.75060453285647</v>
      </c>
      <c r="G6" s="1">
        <f t="shared" si="0"/>
        <v>45.775716426271742</v>
      </c>
      <c r="H6" s="1">
        <f>(B6-E6)^2</f>
        <v>639.04302282173262</v>
      </c>
      <c r="I6" t="s">
        <v>427</v>
      </c>
      <c r="J6" t="s">
        <v>427</v>
      </c>
      <c r="K6" t="s">
        <v>427</v>
      </c>
      <c r="L6" t="s">
        <v>427</v>
      </c>
      <c r="M6" t="s">
        <v>427</v>
      </c>
      <c r="N6" t="s">
        <v>427</v>
      </c>
      <c r="O6" t="s">
        <v>427</v>
      </c>
    </row>
    <row r="7" spans="1:17" x14ac:dyDescent="0.25">
      <c r="A7" t="s">
        <v>235</v>
      </c>
      <c r="B7" s="1">
        <v>56.0625</v>
      </c>
      <c r="C7">
        <v>5</v>
      </c>
      <c r="D7">
        <f t="shared" si="1"/>
        <v>25</v>
      </c>
      <c r="E7" s="1">
        <f t="shared" si="2"/>
        <v>32.547854178070949</v>
      </c>
      <c r="F7" s="1">
        <f t="shared" si="3"/>
        <v>280.71649841386841</v>
      </c>
      <c r="G7" s="1">
        <f t="shared" si="0"/>
        <v>45.698269039474447</v>
      </c>
      <c r="H7" s="1">
        <f>(B7-E7)^2</f>
        <v>552.93856813076536</v>
      </c>
      <c r="K7" t="s">
        <v>427</v>
      </c>
      <c r="L7" t="s">
        <v>427</v>
      </c>
      <c r="M7" t="s">
        <v>427</v>
      </c>
      <c r="N7" t="s">
        <v>427</v>
      </c>
      <c r="O7" t="s">
        <v>427</v>
      </c>
      <c r="P7" s="2" t="s">
        <v>457</v>
      </c>
      <c r="Q7" s="3">
        <f>COVAR(B3:B180,D3:D180)</f>
        <v>57368.620766357679</v>
      </c>
    </row>
    <row r="8" spans="1:17" x14ac:dyDescent="0.25">
      <c r="A8" t="s">
        <v>236</v>
      </c>
      <c r="B8" s="1">
        <v>55.4</v>
      </c>
      <c r="C8">
        <v>6</v>
      </c>
      <c r="D8">
        <f t="shared" si="1"/>
        <v>36</v>
      </c>
      <c r="E8" s="1">
        <f t="shared" si="2"/>
        <v>32.554852488205519</v>
      </c>
      <c r="F8" s="1">
        <f t="shared" si="3"/>
        <v>258.95556451742027</v>
      </c>
      <c r="G8" s="1">
        <f t="shared" si="0"/>
        <v>45.603700170177234</v>
      </c>
      <c r="H8" s="1">
        <f t="shared" ref="H8:H71" si="4">(B8-E8)^2</f>
        <v>521.90076483564951</v>
      </c>
      <c r="I8" t="s">
        <v>427</v>
      </c>
      <c r="K8" t="s">
        <v>427</v>
      </c>
      <c r="L8" t="s">
        <v>427</v>
      </c>
      <c r="M8" t="s">
        <v>427</v>
      </c>
      <c r="N8" t="s">
        <v>427</v>
      </c>
      <c r="O8" t="s">
        <v>427</v>
      </c>
    </row>
    <row r="9" spans="1:17" x14ac:dyDescent="0.25">
      <c r="A9" t="s">
        <v>237</v>
      </c>
      <c r="B9" s="1">
        <v>52.788888888888899</v>
      </c>
      <c r="C9">
        <v>7</v>
      </c>
      <c r="D9">
        <f t="shared" si="1"/>
        <v>49</v>
      </c>
      <c r="E9" s="1">
        <f t="shared" si="2"/>
        <v>32.563123218364559</v>
      </c>
      <c r="F9" s="1">
        <f t="shared" si="3"/>
        <v>181.73696265906946</v>
      </c>
      <c r="G9" s="1">
        <f t="shared" ref="G9:G72" si="5">(E9-$Q$11)^2</f>
        <v>45.492063247119802</v>
      </c>
      <c r="H9" s="1">
        <f t="shared" si="4"/>
        <v>409.08159695896086</v>
      </c>
      <c r="P9" s="2" t="s">
        <v>458</v>
      </c>
      <c r="Q9" s="3">
        <f>AVERAGE(D3:D180)</f>
        <v>10650.5</v>
      </c>
    </row>
    <row r="10" spans="1:17" x14ac:dyDescent="0.25">
      <c r="A10" t="s">
        <v>238</v>
      </c>
      <c r="B10" s="1">
        <v>50.683333333333302</v>
      </c>
      <c r="C10">
        <v>8</v>
      </c>
      <c r="D10">
        <f t="shared" si="1"/>
        <v>64</v>
      </c>
      <c r="E10" s="1">
        <f t="shared" si="2"/>
        <v>32.572666368548056</v>
      </c>
      <c r="F10" s="1">
        <f t="shared" si="3"/>
        <v>129.40040018337839</v>
      </c>
      <c r="G10" s="1">
        <f t="shared" si="5"/>
        <v>45.363421413358388</v>
      </c>
      <c r="H10" s="1">
        <f t="shared" si="4"/>
        <v>327.99625790936364</v>
      </c>
    </row>
    <row r="11" spans="1:17" x14ac:dyDescent="0.25">
      <c r="A11" t="s">
        <v>239</v>
      </c>
      <c r="B11" s="1">
        <v>51.983333333333299</v>
      </c>
      <c r="C11">
        <v>9</v>
      </c>
      <c r="D11">
        <f t="shared" si="1"/>
        <v>81</v>
      </c>
      <c r="E11" s="1">
        <f t="shared" si="2"/>
        <v>32.58348193875603</v>
      </c>
      <c r="F11" s="1">
        <f t="shared" si="3"/>
        <v>160.66651732609395</v>
      </c>
      <c r="G11" s="1">
        <f t="shared" si="5"/>
        <v>45.217847526265032</v>
      </c>
      <c r="H11" s="1">
        <f t="shared" si="4"/>
        <v>376.35423413168161</v>
      </c>
      <c r="P11" s="2" t="s">
        <v>444</v>
      </c>
      <c r="Q11" s="3">
        <f>AVERAGE(B3:B180)</f>
        <v>39.307903663058056</v>
      </c>
    </row>
    <row r="12" spans="1:17" x14ac:dyDescent="0.25">
      <c r="A12" t="s">
        <v>240</v>
      </c>
      <c r="B12" s="1">
        <v>52.337499999999999</v>
      </c>
      <c r="C12">
        <v>10</v>
      </c>
      <c r="D12">
        <f t="shared" si="1"/>
        <v>100</v>
      </c>
      <c r="E12" s="1">
        <f t="shared" si="2"/>
        <v>32.595569928988468</v>
      </c>
      <c r="F12" s="1">
        <f t="shared" si="3"/>
        <v>169.77038070365089</v>
      </c>
      <c r="G12" s="1">
        <f t="shared" si="5"/>
        <v>45.055424157528584</v>
      </c>
      <c r="H12" s="1">
        <f t="shared" si="4"/>
        <v>389.74380292870933</v>
      </c>
      <c r="Q12" t="s">
        <v>427</v>
      </c>
    </row>
    <row r="13" spans="1:17" x14ac:dyDescent="0.25">
      <c r="A13" t="s">
        <v>241</v>
      </c>
      <c r="B13" s="1">
        <v>53.1944444444444</v>
      </c>
      <c r="C13">
        <v>11</v>
      </c>
      <c r="D13">
        <f t="shared" si="1"/>
        <v>121</v>
      </c>
      <c r="E13" s="1">
        <f t="shared" si="2"/>
        <v>32.608930339245369</v>
      </c>
      <c r="F13" s="1">
        <f t="shared" si="3"/>
        <v>192.83601487310605</v>
      </c>
      <c r="G13" s="1">
        <f t="shared" si="5"/>
        <v>44.876243593154008</v>
      </c>
      <c r="H13" s="1">
        <f t="shared" si="4"/>
        <v>423.76339097534827</v>
      </c>
      <c r="P13" s="2" t="s">
        <v>445</v>
      </c>
      <c r="Q13" s="3" t="s">
        <v>459</v>
      </c>
    </row>
    <row r="14" spans="1:17" x14ac:dyDescent="0.25">
      <c r="A14" t="s">
        <v>242</v>
      </c>
      <c r="B14" s="1">
        <v>52.178571428571402</v>
      </c>
      <c r="C14">
        <v>12</v>
      </c>
      <c r="D14">
        <f t="shared" si="1"/>
        <v>144</v>
      </c>
      <c r="E14" s="1">
        <f t="shared" si="2"/>
        <v>32.62356316952674</v>
      </c>
      <c r="F14" s="1">
        <f t="shared" si="3"/>
        <v>165.65408873022432</v>
      </c>
      <c r="G14" s="1">
        <f t="shared" si="5"/>
        <v>44.680407833462475</v>
      </c>
      <c r="H14" s="1">
        <f t="shared" si="4"/>
        <v>382.39834801130496</v>
      </c>
    </row>
    <row r="15" spans="1:17" x14ac:dyDescent="0.25">
      <c r="A15" t="s">
        <v>243</v>
      </c>
      <c r="B15" s="1">
        <v>52.3125</v>
      </c>
      <c r="C15">
        <v>13</v>
      </c>
      <c r="D15">
        <f t="shared" si="1"/>
        <v>169</v>
      </c>
      <c r="E15" s="1">
        <f t="shared" si="2"/>
        <v>32.639468419832575</v>
      </c>
      <c r="F15" s="1">
        <f t="shared" si="3"/>
        <v>169.11952588680381</v>
      </c>
      <c r="G15" s="1">
        <f t="shared" si="5"/>
        <v>44.468028593091681</v>
      </c>
      <c r="H15" s="1">
        <f t="shared" si="4"/>
        <v>387.02817155426482</v>
      </c>
      <c r="P15" s="2" t="s">
        <v>447</v>
      </c>
      <c r="Q15" s="3">
        <f>VARP(B3:B180)</f>
        <v>202.58894267562988</v>
      </c>
    </row>
    <row r="16" spans="1:17" x14ac:dyDescent="0.25">
      <c r="A16" t="s">
        <v>244</v>
      </c>
      <c r="B16" s="1">
        <v>52.0555555555556</v>
      </c>
      <c r="C16">
        <v>14</v>
      </c>
      <c r="D16">
        <f t="shared" si="1"/>
        <v>196</v>
      </c>
      <c r="E16" s="1">
        <f t="shared" si="2"/>
        <v>32.65664609016288</v>
      </c>
      <c r="F16" s="1">
        <f t="shared" si="3"/>
        <v>162.50262877229622</v>
      </c>
      <c r="G16" s="1">
        <f t="shared" si="5"/>
        <v>44.239227300995424</v>
      </c>
      <c r="H16" s="1">
        <f t="shared" si="4"/>
        <v>376.31768844650327</v>
      </c>
    </row>
    <row r="17" spans="1:17" x14ac:dyDescent="0.25">
      <c r="A17" t="s">
        <v>245</v>
      </c>
      <c r="B17" s="1">
        <v>51.288888888888899</v>
      </c>
      <c r="C17">
        <v>15</v>
      </c>
      <c r="D17">
        <f t="shared" si="1"/>
        <v>225</v>
      </c>
      <c r="E17" s="1">
        <f t="shared" si="2"/>
        <v>32.675096180517656</v>
      </c>
      <c r="F17" s="1">
        <f t="shared" si="3"/>
        <v>143.54400698157693</v>
      </c>
      <c r="G17" s="1">
        <f t="shared" si="5"/>
        <v>43.99413510044392</v>
      </c>
      <c r="H17" s="1">
        <f t="shared" si="4"/>
        <v>346.47327899021445</v>
      </c>
      <c r="P17" s="2" t="s">
        <v>460</v>
      </c>
      <c r="Q17" s="3">
        <f>VARP(D3:D180)</f>
        <v>90172458.25</v>
      </c>
    </row>
    <row r="18" spans="1:17" x14ac:dyDescent="0.25">
      <c r="A18" t="s">
        <v>246</v>
      </c>
      <c r="B18" s="1">
        <v>51.3</v>
      </c>
      <c r="C18">
        <v>16</v>
      </c>
      <c r="D18">
        <f t="shared" si="1"/>
        <v>256</v>
      </c>
      <c r="E18" s="1">
        <f t="shared" si="2"/>
        <v>32.694818690896895</v>
      </c>
      <c r="F18" s="1">
        <f t="shared" si="3"/>
        <v>143.81037455449632</v>
      </c>
      <c r="G18" s="1">
        <f t="shared" si="5"/>
        <v>43.732892849023784</v>
      </c>
      <c r="H18" s="1">
        <f t="shared" si="4"/>
        <v>346.15277154459943</v>
      </c>
    </row>
    <row r="19" spans="1:17" x14ac:dyDescent="0.25">
      <c r="A19" t="s">
        <v>247</v>
      </c>
      <c r="B19" s="1">
        <v>51.8888888888889</v>
      </c>
      <c r="C19">
        <v>17</v>
      </c>
      <c r="D19">
        <f t="shared" si="1"/>
        <v>289</v>
      </c>
      <c r="E19" s="1">
        <f t="shared" si="2"/>
        <v>32.715813621300597</v>
      </c>
      <c r="F19" s="1">
        <f t="shared" si="3"/>
        <v>158.28118925257397</v>
      </c>
      <c r="G19" s="1">
        <f t="shared" si="5"/>
        <v>43.455651118637853</v>
      </c>
      <c r="H19" s="1">
        <f t="shared" si="4"/>
        <v>367.60681521660626</v>
      </c>
      <c r="P19" s="2" t="s">
        <v>449</v>
      </c>
      <c r="Q19" s="3">
        <f>CORREL(B3:B180,D3:D180)</f>
        <v>0.42445297826048273</v>
      </c>
    </row>
    <row r="20" spans="1:17" x14ac:dyDescent="0.25">
      <c r="A20" t="s">
        <v>248</v>
      </c>
      <c r="B20" s="1">
        <v>50.8333333333333</v>
      </c>
      <c r="C20">
        <v>18</v>
      </c>
      <c r="D20">
        <f t="shared" si="1"/>
        <v>324</v>
      </c>
      <c r="E20" s="1">
        <f t="shared" si="2"/>
        <v>32.73808097172877</v>
      </c>
      <c r="F20" s="1">
        <f t="shared" si="3"/>
        <v>132.83552908446092</v>
      </c>
      <c r="G20" s="1">
        <f t="shared" si="5"/>
        <v>43.162570195505175</v>
      </c>
      <c r="H20" s="1">
        <f t="shared" si="4"/>
        <v>327.43815803015428</v>
      </c>
    </row>
    <row r="21" spans="1:17" x14ac:dyDescent="0.25">
      <c r="A21" t="s">
        <v>249</v>
      </c>
      <c r="B21" s="1">
        <v>50.355555555555597</v>
      </c>
      <c r="C21">
        <v>19</v>
      </c>
      <c r="D21">
        <f t="shared" si="1"/>
        <v>361</v>
      </c>
      <c r="E21" s="1">
        <f t="shared" si="2"/>
        <v>32.761620742181407</v>
      </c>
      <c r="F21" s="1">
        <f t="shared" si="3"/>
        <v>122.05061233780449</v>
      </c>
      <c r="G21" s="1">
        <f t="shared" si="5"/>
        <v>42.853820080161313</v>
      </c>
      <c r="H21" s="1">
        <f t="shared" si="4"/>
        <v>309.54654221726031</v>
      </c>
    </row>
    <row r="22" spans="1:17" x14ac:dyDescent="0.25">
      <c r="A22" t="s">
        <v>250</v>
      </c>
      <c r="B22" s="1">
        <v>49.25</v>
      </c>
      <c r="C22">
        <v>20</v>
      </c>
      <c r="D22">
        <f t="shared" si="1"/>
        <v>400</v>
      </c>
      <c r="E22" s="1">
        <f t="shared" si="2"/>
        <v>32.786432932658514</v>
      </c>
      <c r="F22" s="1">
        <f t="shared" si="3"/>
        <v>98.845279573034418</v>
      </c>
      <c r="G22" s="1">
        <f t="shared" si="5"/>
        <v>42.529580487457942</v>
      </c>
      <c r="H22" s="1">
        <f t="shared" si="4"/>
        <v>271.04904058085117</v>
      </c>
    </row>
    <row r="23" spans="1:17" x14ac:dyDescent="0.25">
      <c r="A23" t="s">
        <v>251</v>
      </c>
      <c r="B23" s="1">
        <v>47.725000000000001</v>
      </c>
      <c r="C23">
        <v>21</v>
      </c>
      <c r="D23">
        <f t="shared" si="1"/>
        <v>441</v>
      </c>
      <c r="E23" s="1">
        <f t="shared" si="2"/>
        <v>32.812517543160091</v>
      </c>
      <c r="F23" s="1">
        <f t="shared" si="3"/>
        <v>70.847510745361518</v>
      </c>
      <c r="G23" s="1">
        <f t="shared" si="5"/>
        <v>42.190040846563143</v>
      </c>
      <c r="H23" s="1">
        <f t="shared" si="4"/>
        <v>222.38213302555809</v>
      </c>
    </row>
    <row r="24" spans="1:17" x14ac:dyDescent="0.25">
      <c r="A24" t="s">
        <v>252</v>
      </c>
      <c r="B24" s="1">
        <v>44.6111111111111</v>
      </c>
      <c r="C24">
        <v>22</v>
      </c>
      <c r="D24">
        <f t="shared" si="1"/>
        <v>484</v>
      </c>
      <c r="E24" s="1">
        <f t="shared" si="2"/>
        <v>32.839874573686131</v>
      </c>
      <c r="F24" s="1">
        <f t="shared" si="3"/>
        <v>28.124009237085279</v>
      </c>
      <c r="G24" s="1">
        <f t="shared" si="5"/>
        <v>41.83540030096141</v>
      </c>
      <c r="H24" s="1">
        <f t="shared" si="4"/>
        <v>138.56200962000855</v>
      </c>
    </row>
    <row r="25" spans="1:17" x14ac:dyDescent="0.25">
      <c r="A25" t="s">
        <v>253</v>
      </c>
      <c r="B25" s="1">
        <v>41.5</v>
      </c>
      <c r="C25">
        <v>23</v>
      </c>
      <c r="D25">
        <f t="shared" si="1"/>
        <v>529</v>
      </c>
      <c r="E25" s="1">
        <f t="shared" si="2"/>
        <v>32.868504024236636</v>
      </c>
      <c r="F25" s="1">
        <f t="shared" si="3"/>
        <v>4.8052863504342884</v>
      </c>
      <c r="G25" s="1">
        <f t="shared" si="5"/>
        <v>41.465867708453445</v>
      </c>
      <c r="H25" s="1">
        <f t="shared" si="4"/>
        <v>74.502722779619148</v>
      </c>
    </row>
    <row r="26" spans="1:17" x14ac:dyDescent="0.25">
      <c r="A26" t="s">
        <v>254</v>
      </c>
      <c r="B26" s="1">
        <v>43.6666666666667</v>
      </c>
      <c r="C26">
        <v>24</v>
      </c>
      <c r="D26">
        <f t="shared" si="1"/>
        <v>576</v>
      </c>
      <c r="E26" s="1">
        <f t="shared" si="2"/>
        <v>32.89840589481161</v>
      </c>
      <c r="F26" s="1">
        <f t="shared" si="3"/>
        <v>18.998814921627446</v>
      </c>
      <c r="G26" s="1">
        <f t="shared" si="5"/>
        <v>41.081661641156174</v>
      </c>
      <c r="H26" s="1">
        <f t="shared" si="4"/>
        <v>115.95544005067318</v>
      </c>
    </row>
    <row r="27" spans="1:17" x14ac:dyDescent="0.25">
      <c r="A27" t="s">
        <v>255</v>
      </c>
      <c r="B27" s="1">
        <v>42.75</v>
      </c>
      <c r="C27">
        <v>25</v>
      </c>
      <c r="D27">
        <f t="shared" si="1"/>
        <v>625</v>
      </c>
      <c r="E27" s="1">
        <f t="shared" si="2"/>
        <v>32.929580185411055</v>
      </c>
      <c r="F27" s="1">
        <f t="shared" si="3"/>
        <v>11.848027192789148</v>
      </c>
      <c r="G27" s="1">
        <f t="shared" si="5"/>
        <v>40.683010385502932</v>
      </c>
      <c r="H27" s="1">
        <f t="shared" si="4"/>
        <v>96.440645334771162</v>
      </c>
    </row>
    <row r="28" spans="1:17" x14ac:dyDescent="0.25">
      <c r="A28" t="s">
        <v>256</v>
      </c>
      <c r="B28" s="1">
        <v>43.40625</v>
      </c>
      <c r="C28">
        <v>26</v>
      </c>
      <c r="D28">
        <f t="shared" si="1"/>
        <v>676</v>
      </c>
      <c r="E28" s="1">
        <f t="shared" si="2"/>
        <v>32.962026896034963</v>
      </c>
      <c r="F28" s="1">
        <f t="shared" si="3"/>
        <v>16.79644269752545</v>
      </c>
      <c r="G28" s="1">
        <f t="shared" si="5"/>
        <v>40.270151942243459</v>
      </c>
      <c r="H28" s="1">
        <f t="shared" si="4"/>
        <v>109.08179624539706</v>
      </c>
    </row>
    <row r="29" spans="1:17" x14ac:dyDescent="0.25">
      <c r="A29" t="s">
        <v>257</v>
      </c>
      <c r="B29" s="1">
        <v>42.28125</v>
      </c>
      <c r="C29">
        <v>27</v>
      </c>
      <c r="D29">
        <f t="shared" si="1"/>
        <v>729</v>
      </c>
      <c r="E29" s="1">
        <f t="shared" si="2"/>
        <v>32.995746026683342</v>
      </c>
      <c r="F29" s="1">
        <f t="shared" si="3"/>
        <v>8.8407884394060758</v>
      </c>
      <c r="G29" s="1">
        <f t="shared" si="5"/>
        <v>39.843334026443614</v>
      </c>
      <c r="H29" s="1">
        <f t="shared" si="4"/>
        <v>86.220584038479444</v>
      </c>
    </row>
    <row r="30" spans="1:17" x14ac:dyDescent="0.25">
      <c r="A30" t="s">
        <v>258</v>
      </c>
      <c r="B30" s="1">
        <v>41.412500000000001</v>
      </c>
      <c r="C30">
        <v>28</v>
      </c>
      <c r="D30">
        <f t="shared" si="1"/>
        <v>784</v>
      </c>
      <c r="E30" s="1">
        <f t="shared" si="2"/>
        <v>33.030737577356184</v>
      </c>
      <c r="F30" s="1">
        <f t="shared" si="3"/>
        <v>4.4293257414694542</v>
      </c>
      <c r="G30" s="1">
        <f t="shared" si="5"/>
        <v>39.402814067485757</v>
      </c>
      <c r="H30" s="1">
        <f t="shared" si="4"/>
        <v>70.253941309643949</v>
      </c>
    </row>
    <row r="31" spans="1:17" x14ac:dyDescent="0.25">
      <c r="A31" t="s">
        <v>259</v>
      </c>
      <c r="B31" s="1">
        <v>40.604999999999997</v>
      </c>
      <c r="C31">
        <v>29</v>
      </c>
      <c r="D31">
        <f t="shared" si="1"/>
        <v>841</v>
      </c>
      <c r="E31" s="1">
        <f t="shared" si="2"/>
        <v>33.06700154805349</v>
      </c>
      <c r="F31" s="1">
        <f t="shared" si="3"/>
        <v>1.6824589073082008</v>
      </c>
      <c r="G31" s="1">
        <f t="shared" si="5"/>
        <v>38.948859209068466</v>
      </c>
      <c r="H31" s="1">
        <f t="shared" si="4"/>
        <v>56.821420661547933</v>
      </c>
    </row>
    <row r="32" spans="1:17" x14ac:dyDescent="0.25">
      <c r="A32" t="s">
        <v>260</v>
      </c>
      <c r="B32" s="1">
        <v>39.9375</v>
      </c>
      <c r="C32">
        <v>30</v>
      </c>
      <c r="D32">
        <f t="shared" si="1"/>
        <v>900</v>
      </c>
      <c r="E32" s="1">
        <f t="shared" si="2"/>
        <v>33.104537938775266</v>
      </c>
      <c r="F32" s="1">
        <f t="shared" si="3"/>
        <v>0.39639154749071381</v>
      </c>
      <c r="G32" s="1">
        <f t="shared" si="5"/>
        <v>38.481746309206542</v>
      </c>
      <c r="H32" s="1">
        <f t="shared" si="4"/>
        <v>46.689370530136564</v>
      </c>
    </row>
    <row r="33" spans="1:8" x14ac:dyDescent="0.25">
      <c r="A33" t="s">
        <v>261</v>
      </c>
      <c r="B33" s="1">
        <v>38.022222222222197</v>
      </c>
      <c r="C33">
        <v>31</v>
      </c>
      <c r="D33">
        <f t="shared" si="1"/>
        <v>961</v>
      </c>
      <c r="E33" s="1">
        <f t="shared" si="2"/>
        <v>33.143346749521513</v>
      </c>
      <c r="F33" s="1">
        <f t="shared" si="3"/>
        <v>1.6529767673097699</v>
      </c>
      <c r="G33" s="1">
        <f t="shared" si="5"/>
        <v>38.001761940231198</v>
      </c>
      <c r="H33" s="1">
        <f t="shared" si="4"/>
        <v>23.803425878120329</v>
      </c>
    </row>
    <row r="34" spans="1:8" x14ac:dyDescent="0.25">
      <c r="A34" t="s">
        <v>262</v>
      </c>
      <c r="B34" s="1">
        <v>34.994162640901799</v>
      </c>
      <c r="C34">
        <v>32</v>
      </c>
      <c r="D34">
        <f t="shared" si="1"/>
        <v>1024</v>
      </c>
      <c r="E34" s="1">
        <f t="shared" si="2"/>
        <v>33.183427980292223</v>
      </c>
      <c r="F34" s="1">
        <f t="shared" si="3"/>
        <v>18.608361606233714</v>
      </c>
      <c r="G34" s="1">
        <f t="shared" si="5"/>
        <v>37.509202388790023</v>
      </c>
      <c r="H34" s="1">
        <f t="shared" si="4"/>
        <v>3.2787600111328765</v>
      </c>
    </row>
    <row r="35" spans="1:8" x14ac:dyDescent="0.25">
      <c r="A35" t="s">
        <v>263</v>
      </c>
      <c r="B35" s="1">
        <v>34.453286749482402</v>
      </c>
      <c r="C35">
        <v>33</v>
      </c>
      <c r="D35">
        <f t="shared" si="1"/>
        <v>1089</v>
      </c>
      <c r="E35" s="1">
        <f t="shared" si="2"/>
        <v>33.224781631087403</v>
      </c>
      <c r="F35" s="1">
        <f t="shared" si="3"/>
        <v>23.567305377574812</v>
      </c>
      <c r="G35" s="1">
        <f t="shared" si="5"/>
        <v>37.00437365584677</v>
      </c>
      <c r="H35" s="1">
        <f t="shared" si="4"/>
        <v>1.5092248259227101</v>
      </c>
    </row>
    <row r="36" spans="1:8" x14ac:dyDescent="0.25">
      <c r="A36" t="s">
        <v>264</v>
      </c>
      <c r="B36" s="1">
        <v>34.848495589161899</v>
      </c>
      <c r="C36">
        <v>34</v>
      </c>
      <c r="D36">
        <f t="shared" si="1"/>
        <v>1156</v>
      </c>
      <c r="E36" s="1">
        <f t="shared" si="2"/>
        <v>33.267407701907047</v>
      </c>
      <c r="F36" s="1">
        <f t="shared" si="3"/>
        <v>19.886320369530228</v>
      </c>
      <c r="G36" s="1">
        <f t="shared" si="5"/>
        <v>36.487591456681656</v>
      </c>
      <c r="H36" s="1">
        <f t="shared" si="4"/>
        <v>2.4998389072240141</v>
      </c>
    </row>
    <row r="37" spans="1:8" x14ac:dyDescent="0.25">
      <c r="A37" t="s">
        <v>265</v>
      </c>
      <c r="B37" s="1">
        <v>35.592003105590003</v>
      </c>
      <c r="C37">
        <v>35</v>
      </c>
      <c r="D37">
        <f t="shared" si="1"/>
        <v>1225</v>
      </c>
      <c r="E37" s="1">
        <f t="shared" si="2"/>
        <v>33.311306192751161</v>
      </c>
      <c r="F37" s="1">
        <f t="shared" si="3"/>
        <v>13.807916952991391</v>
      </c>
      <c r="G37" s="1">
        <f t="shared" si="5"/>
        <v>35.959181220891054</v>
      </c>
      <c r="H37" s="1">
        <f t="shared" si="4"/>
        <v>5.2015784082326233</v>
      </c>
    </row>
    <row r="38" spans="1:8" x14ac:dyDescent="0.25">
      <c r="A38" t="s">
        <v>266</v>
      </c>
      <c r="B38" s="1">
        <v>34.593297101449302</v>
      </c>
      <c r="C38">
        <v>36</v>
      </c>
      <c r="D38">
        <f t="shared" si="1"/>
        <v>1296</v>
      </c>
      <c r="E38" s="1">
        <f t="shared" si="2"/>
        <v>33.356477103619739</v>
      </c>
      <c r="F38" s="1">
        <f t="shared" si="3"/>
        <v>22.227515030764319</v>
      </c>
      <c r="G38" s="1">
        <f t="shared" si="5"/>
        <v>35.419478092387813</v>
      </c>
      <c r="H38" s="1">
        <f t="shared" si="4"/>
        <v>1.5297237070311216</v>
      </c>
    </row>
    <row r="39" spans="1:8" x14ac:dyDescent="0.25">
      <c r="A39" t="s">
        <v>267</v>
      </c>
      <c r="B39" s="1">
        <v>35.214988972904798</v>
      </c>
      <c r="C39">
        <v>37</v>
      </c>
      <c r="D39">
        <f t="shared" si="1"/>
        <v>1369</v>
      </c>
      <c r="E39" s="1">
        <f t="shared" si="2"/>
        <v>33.402920434512779</v>
      </c>
      <c r="F39" s="1">
        <f t="shared" si="3"/>
        <v>16.751950660872335</v>
      </c>
      <c r="G39" s="1">
        <f t="shared" si="5"/>
        <v>34.868826929400996</v>
      </c>
      <c r="H39" s="1">
        <f t="shared" si="4"/>
        <v>3.283592387830188</v>
      </c>
    </row>
    <row r="40" spans="1:8" x14ac:dyDescent="0.25">
      <c r="A40" t="s">
        <v>268</v>
      </c>
      <c r="B40" s="1">
        <v>35.546739130434801</v>
      </c>
      <c r="C40">
        <v>38</v>
      </c>
      <c r="D40">
        <f t="shared" si="1"/>
        <v>1444</v>
      </c>
      <c r="E40" s="1">
        <f t="shared" si="2"/>
        <v>33.450636185430298</v>
      </c>
      <c r="F40" s="1">
        <f t="shared" si="3"/>
        <v>14.146358641463106</v>
      </c>
      <c r="G40" s="1">
        <f t="shared" si="5"/>
        <v>34.307582304475837</v>
      </c>
      <c r="H40" s="1">
        <f t="shared" si="4"/>
        <v>4.3936475560565516</v>
      </c>
    </row>
    <row r="41" spans="1:8" x14ac:dyDescent="0.25">
      <c r="A41" t="s">
        <v>269</v>
      </c>
      <c r="B41" s="1">
        <v>34.7028554175293</v>
      </c>
      <c r="C41">
        <v>39</v>
      </c>
      <c r="D41">
        <f t="shared" si="1"/>
        <v>1521</v>
      </c>
      <c r="E41" s="1">
        <f t="shared" si="2"/>
        <v>33.499624356372273</v>
      </c>
      <c r="F41" s="1">
        <f t="shared" si="3"/>
        <v>21.206469343647477</v>
      </c>
      <c r="G41" s="1">
        <f t="shared" si="5"/>
        <v>33.736108504474281</v>
      </c>
      <c r="H41" s="1">
        <f t="shared" si="4"/>
        <v>1.4477649865330646</v>
      </c>
    </row>
    <row r="42" spans="1:8" x14ac:dyDescent="0.25">
      <c r="A42" t="s">
        <v>270</v>
      </c>
      <c r="B42" s="1">
        <v>32.744565217391298</v>
      </c>
      <c r="C42">
        <v>40</v>
      </c>
      <c r="D42">
        <f t="shared" si="1"/>
        <v>1600</v>
      </c>
      <c r="E42" s="1">
        <f t="shared" si="2"/>
        <v>33.549884947338718</v>
      </c>
      <c r="F42" s="1">
        <f t="shared" si="3"/>
        <v>43.077411552367344</v>
      </c>
      <c r="G42" s="1">
        <f t="shared" si="5"/>
        <v>33.154779530574174</v>
      </c>
      <c r="H42" s="1">
        <f t="shared" si="4"/>
        <v>0.64853986744258652</v>
      </c>
    </row>
    <row r="43" spans="1:8" x14ac:dyDescent="0.25">
      <c r="A43" t="s">
        <v>271</v>
      </c>
      <c r="B43" s="1">
        <v>28.539855072463801</v>
      </c>
      <c r="C43">
        <v>41</v>
      </c>
      <c r="D43">
        <f t="shared" si="1"/>
        <v>1681</v>
      </c>
      <c r="E43" s="1">
        <f t="shared" si="2"/>
        <v>33.601417958329634</v>
      </c>
      <c r="F43" s="1">
        <f t="shared" si="3"/>
        <v>115.95087044939892</v>
      </c>
      <c r="G43" s="1">
        <f t="shared" si="5"/>
        <v>32.563979098269833</v>
      </c>
      <c r="H43" s="1">
        <f t="shared" si="4"/>
        <v>25.619418847574455</v>
      </c>
    </row>
    <row r="44" spans="1:8" x14ac:dyDescent="0.25">
      <c r="A44" t="s">
        <v>272</v>
      </c>
      <c r="B44" s="1">
        <v>28.2254572118702</v>
      </c>
      <c r="C44">
        <v>42</v>
      </c>
      <c r="D44">
        <f t="shared" si="1"/>
        <v>1764</v>
      </c>
      <c r="E44" s="1">
        <f t="shared" si="2"/>
        <v>33.654223389345013</v>
      </c>
      <c r="F44" s="1">
        <f t="shared" si="3"/>
        <v>122.82061934344631</v>
      </c>
      <c r="G44" s="1">
        <f t="shared" si="5"/>
        <v>31.964100637371988</v>
      </c>
      <c r="H44" s="1">
        <f t="shared" si="4"/>
        <v>29.471502209694492</v>
      </c>
    </row>
    <row r="45" spans="1:8" x14ac:dyDescent="0.25">
      <c r="A45" t="s">
        <v>273</v>
      </c>
      <c r="B45" s="1">
        <v>28.4002047889099</v>
      </c>
      <c r="C45">
        <v>43</v>
      </c>
      <c r="D45">
        <f t="shared" si="1"/>
        <v>1849</v>
      </c>
      <c r="E45" s="1">
        <f t="shared" si="2"/>
        <v>33.708301240384863</v>
      </c>
      <c r="F45" s="1">
        <f t="shared" si="3"/>
        <v>118.97789472909295</v>
      </c>
      <c r="G45" s="1">
        <f t="shared" si="5"/>
        <v>31.355547292007497</v>
      </c>
      <c r="H45" s="1">
        <f t="shared" si="4"/>
        <v>28.175887938161097</v>
      </c>
    </row>
    <row r="46" spans="1:8" x14ac:dyDescent="0.25">
      <c r="A46" t="s">
        <v>274</v>
      </c>
      <c r="B46" s="1">
        <v>30.829321946169799</v>
      </c>
      <c r="C46">
        <v>44</v>
      </c>
      <c r="D46">
        <f t="shared" si="1"/>
        <v>1936</v>
      </c>
      <c r="E46" s="1">
        <f t="shared" si="2"/>
        <v>33.763651511449176</v>
      </c>
      <c r="F46" s="1">
        <f t="shared" si="3"/>
        <v>71.886347929951825</v>
      </c>
      <c r="G46" s="1">
        <f t="shared" si="5"/>
        <v>30.738731920619699</v>
      </c>
      <c r="H46" s="1">
        <f t="shared" si="4"/>
        <v>8.6102899976726572</v>
      </c>
    </row>
    <row r="47" spans="1:8" x14ac:dyDescent="0.25">
      <c r="A47" t="s">
        <v>275</v>
      </c>
      <c r="B47" s="1">
        <v>34.371829710144901</v>
      </c>
      <c r="C47">
        <v>45</v>
      </c>
      <c r="D47">
        <f t="shared" si="1"/>
        <v>2025</v>
      </c>
      <c r="E47" s="1">
        <f t="shared" si="2"/>
        <v>33.820274202537959</v>
      </c>
      <c r="F47" s="1">
        <f t="shared" si="3"/>
        <v>24.3648260686277</v>
      </c>
      <c r="G47" s="1">
        <f t="shared" si="5"/>
        <v>30.114077095968089</v>
      </c>
      <c r="H47" s="1">
        <f t="shared" si="4"/>
        <v>0.30421347797155129</v>
      </c>
    </row>
    <row r="48" spans="1:8" x14ac:dyDescent="0.25">
      <c r="A48" t="s">
        <v>276</v>
      </c>
      <c r="B48" s="1">
        <v>35.751732829237497</v>
      </c>
      <c r="C48">
        <v>46</v>
      </c>
      <c r="D48">
        <f t="shared" si="1"/>
        <v>2116</v>
      </c>
      <c r="E48" s="1">
        <f t="shared" si="2"/>
        <v>33.878169313651213</v>
      </c>
      <c r="F48" s="1">
        <f t="shared" si="3"/>
        <v>12.646350999316011</v>
      </c>
      <c r="G48" s="1">
        <f t="shared" si="5"/>
        <v>29.48201510512855</v>
      </c>
      <c r="H48" s="1">
        <f t="shared" si="4"/>
        <v>3.5102402469360348</v>
      </c>
    </row>
    <row r="49" spans="1:8" x14ac:dyDescent="0.25">
      <c r="A49" t="s">
        <v>277</v>
      </c>
      <c r="B49" s="1">
        <v>40.597373188405797</v>
      </c>
      <c r="C49">
        <v>47</v>
      </c>
      <c r="D49">
        <f t="shared" si="1"/>
        <v>2209</v>
      </c>
      <c r="E49" s="1">
        <f t="shared" si="2"/>
        <v>33.937336844788923</v>
      </c>
      <c r="F49" s="1">
        <f t="shared" si="3"/>
        <v>1.6627316568005281</v>
      </c>
      <c r="G49" s="1">
        <f t="shared" si="5"/>
        <v>28.842987949493434</v>
      </c>
      <c r="H49" s="1">
        <f t="shared" si="4"/>
        <v>44.356084098297615</v>
      </c>
    </row>
    <row r="50" spans="1:8" x14ac:dyDescent="0.25">
      <c r="A50" t="s">
        <v>278</v>
      </c>
      <c r="B50" s="1">
        <v>36.948251417769299</v>
      </c>
      <c r="C50">
        <v>48</v>
      </c>
      <c r="D50">
        <f t="shared" si="1"/>
        <v>2304</v>
      </c>
      <c r="E50" s="1">
        <f t="shared" si="2"/>
        <v>33.997776795951111</v>
      </c>
      <c r="F50" s="1">
        <f t="shared" si="3"/>
        <v>5.5679587186962722</v>
      </c>
      <c r="G50" s="1">
        <f t="shared" si="5"/>
        <v>28.197447344771017</v>
      </c>
      <c r="H50" s="1">
        <f t="shared" si="4"/>
        <v>8.7053004939931782</v>
      </c>
    </row>
    <row r="51" spans="1:8" x14ac:dyDescent="0.25">
      <c r="A51" t="s">
        <v>279</v>
      </c>
      <c r="B51" s="1">
        <v>35.897727272727302</v>
      </c>
      <c r="C51">
        <v>49</v>
      </c>
      <c r="D51">
        <f t="shared" si="1"/>
        <v>2401</v>
      </c>
      <c r="E51" s="1">
        <f t="shared" si="2"/>
        <v>34.059489167137755</v>
      </c>
      <c r="F51" s="1">
        <f t="shared" si="3"/>
        <v>11.629303013169293</v>
      </c>
      <c r="G51" s="1">
        <f t="shared" si="5"/>
        <v>27.545854720986345</v>
      </c>
      <c r="H51" s="1">
        <f t="shared" si="4"/>
        <v>3.3791193328414448</v>
      </c>
    </row>
    <row r="52" spans="1:8" x14ac:dyDescent="0.25">
      <c r="A52" t="s">
        <v>280</v>
      </c>
      <c r="B52" s="1">
        <v>38.1875</v>
      </c>
      <c r="C52">
        <v>50</v>
      </c>
      <c r="D52">
        <f t="shared" si="1"/>
        <v>2500</v>
      </c>
      <c r="E52" s="1">
        <f t="shared" si="2"/>
        <v>34.122473958348877</v>
      </c>
      <c r="F52" s="1">
        <f t="shared" si="3"/>
        <v>1.25530436819391</v>
      </c>
      <c r="G52" s="1">
        <f t="shared" si="5"/>
        <v>26.888681222480326</v>
      </c>
      <c r="H52" s="1">
        <f t="shared" si="4"/>
        <v>16.524436719301796</v>
      </c>
    </row>
    <row r="53" spans="1:8" x14ac:dyDescent="0.25">
      <c r="A53" t="s">
        <v>281</v>
      </c>
      <c r="B53" s="1">
        <v>39.318181818181799</v>
      </c>
      <c r="C53">
        <v>51</v>
      </c>
      <c r="D53">
        <f t="shared" si="1"/>
        <v>2601</v>
      </c>
      <c r="E53" s="1">
        <f t="shared" si="2"/>
        <v>34.186731169584462</v>
      </c>
      <c r="F53" s="1">
        <f t="shared" si="3"/>
        <v>1.0564047274771933E-4</v>
      </c>
      <c r="G53" s="1">
        <f t="shared" si="5"/>
        <v>26.22640770791055</v>
      </c>
      <c r="H53" s="1">
        <f t="shared" si="4"/>
        <v>26.33178575899003</v>
      </c>
    </row>
    <row r="54" spans="1:8" x14ac:dyDescent="0.25">
      <c r="A54" t="s">
        <v>282</v>
      </c>
      <c r="B54" s="1">
        <v>38.840909090909101</v>
      </c>
      <c r="C54">
        <v>52</v>
      </c>
      <c r="D54">
        <f t="shared" si="1"/>
        <v>2704</v>
      </c>
      <c r="E54" s="1">
        <f t="shared" si="2"/>
        <v>34.25226080084451</v>
      </c>
      <c r="F54" s="1">
        <f t="shared" si="3"/>
        <v>0.21808393041658597</v>
      </c>
      <c r="G54" s="1">
        <f t="shared" si="5"/>
        <v>25.559524750250773</v>
      </c>
      <c r="H54" s="1">
        <f t="shared" si="4"/>
        <v>21.055693129912687</v>
      </c>
    </row>
    <row r="55" spans="1:8" x14ac:dyDescent="0.25">
      <c r="A55" t="s">
        <v>283</v>
      </c>
      <c r="B55" s="1">
        <v>35.690476190476197</v>
      </c>
      <c r="C55">
        <v>53</v>
      </c>
      <c r="D55">
        <f t="shared" si="1"/>
        <v>2809</v>
      </c>
      <c r="E55" s="1">
        <f t="shared" si="2"/>
        <v>34.319062852129029</v>
      </c>
      <c r="F55" s="1">
        <f t="shared" si="3"/>
        <v>13.085781519389977</v>
      </c>
      <c r="G55" s="1">
        <f t="shared" si="5"/>
        <v>24.888532636790988</v>
      </c>
      <c r="H55" s="1">
        <f t="shared" si="4"/>
        <v>1.8807745445965229</v>
      </c>
    </row>
    <row r="56" spans="1:8" x14ac:dyDescent="0.25">
      <c r="A56" t="s">
        <v>284</v>
      </c>
      <c r="B56" s="1">
        <v>36.045454545454497</v>
      </c>
      <c r="C56">
        <v>54</v>
      </c>
      <c r="D56">
        <f t="shared" si="1"/>
        <v>2916</v>
      </c>
      <c r="E56" s="1">
        <f t="shared" si="2"/>
        <v>34.387137323438012</v>
      </c>
      <c r="F56" s="1">
        <f t="shared" si="3"/>
        <v>10.643574244952241</v>
      </c>
      <c r="G56" s="1">
        <f t="shared" si="5"/>
        <v>24.21394136913765</v>
      </c>
      <c r="H56" s="1">
        <f t="shared" si="4"/>
        <v>2.7500160088364733</v>
      </c>
    </row>
    <row r="57" spans="1:8" x14ac:dyDescent="0.25">
      <c r="A57" t="s">
        <v>285</v>
      </c>
      <c r="B57" s="1">
        <v>36.2826086956522</v>
      </c>
      <c r="C57">
        <v>55</v>
      </c>
      <c r="D57">
        <f t="shared" si="1"/>
        <v>3025</v>
      </c>
      <c r="E57" s="1">
        <f t="shared" si="2"/>
        <v>34.456484214771464</v>
      </c>
      <c r="F57" s="1">
        <f t="shared" si="3"/>
        <v>9.1524096398111965</v>
      </c>
      <c r="G57" s="1">
        <f t="shared" si="5"/>
        <v>23.536270663213379</v>
      </c>
      <c r="H57" s="1">
        <f t="shared" si="4"/>
        <v>3.3347306196719382</v>
      </c>
    </row>
    <row r="58" spans="1:8" x14ac:dyDescent="0.25">
      <c r="A58" t="s">
        <v>286</v>
      </c>
      <c r="B58" s="1">
        <v>36.095238095238102</v>
      </c>
      <c r="C58">
        <v>56</v>
      </c>
      <c r="D58">
        <f t="shared" si="1"/>
        <v>3136</v>
      </c>
      <c r="E58" s="1">
        <f t="shared" si="2"/>
        <v>34.527103526129387</v>
      </c>
      <c r="F58" s="1">
        <f t="shared" si="3"/>
        <v>10.321220050655908</v>
      </c>
      <c r="G58" s="1">
        <f t="shared" si="5"/>
        <v>22.856049949257176</v>
      </c>
      <c r="H58" s="1">
        <f t="shared" si="4"/>
        <v>2.4590460268337737</v>
      </c>
    </row>
    <row r="59" spans="1:8" x14ac:dyDescent="0.25">
      <c r="A59" t="s">
        <v>287</v>
      </c>
      <c r="B59" s="1">
        <v>37.056818181818201</v>
      </c>
      <c r="C59">
        <v>57</v>
      </c>
      <c r="D59">
        <f t="shared" si="1"/>
        <v>3249</v>
      </c>
      <c r="E59" s="1">
        <f t="shared" si="2"/>
        <v>34.598995257511774</v>
      </c>
      <c r="F59" s="1">
        <f t="shared" si="3"/>
        <v>5.0673858438488688</v>
      </c>
      <c r="G59" s="1">
        <f t="shared" si="5"/>
        <v>22.173818371824428</v>
      </c>
      <c r="H59" s="1">
        <f t="shared" si="4"/>
        <v>6.0408935272461974</v>
      </c>
    </row>
    <row r="60" spans="1:8" x14ac:dyDescent="0.25">
      <c r="A60" t="s">
        <v>288</v>
      </c>
      <c r="B60" s="1">
        <v>37.238636363636402</v>
      </c>
      <c r="C60">
        <v>58</v>
      </c>
      <c r="D60">
        <f t="shared" si="1"/>
        <v>3364</v>
      </c>
      <c r="E60" s="1">
        <f t="shared" si="2"/>
        <v>34.672159408918624</v>
      </c>
      <c r="F60" s="1">
        <f t="shared" si="3"/>
        <v>4.2818671564557835</v>
      </c>
      <c r="G60" s="1">
        <f t="shared" si="5"/>
        <v>21.490124789786758</v>
      </c>
      <c r="H60" s="1">
        <f t="shared" si="4"/>
        <v>6.5868039590974412</v>
      </c>
    </row>
    <row r="61" spans="1:8" x14ac:dyDescent="0.25">
      <c r="A61" t="s">
        <v>289</v>
      </c>
      <c r="B61" s="1">
        <v>35.964285714285701</v>
      </c>
      <c r="C61">
        <v>59</v>
      </c>
      <c r="D61">
        <f t="shared" si="1"/>
        <v>3481</v>
      </c>
      <c r="E61" s="1">
        <f t="shared" si="2"/>
        <v>34.746595980349944</v>
      </c>
      <c r="F61" s="1">
        <f t="shared" si="3"/>
        <v>11.17978098735265</v>
      </c>
      <c r="G61" s="1">
        <f t="shared" si="5"/>
        <v>20.805527776332042</v>
      </c>
      <c r="H61" s="1">
        <f t="shared" si="4"/>
        <v>1.4827682881325337</v>
      </c>
    </row>
    <row r="62" spans="1:8" x14ac:dyDescent="0.25">
      <c r="A62" t="s">
        <v>290</v>
      </c>
      <c r="B62" s="1">
        <v>35.163043478260903</v>
      </c>
      <c r="C62">
        <v>60</v>
      </c>
      <c r="D62">
        <f t="shared" si="1"/>
        <v>3600</v>
      </c>
      <c r="E62" s="1">
        <f t="shared" si="2"/>
        <v>34.822304971805728</v>
      </c>
      <c r="F62" s="1">
        <f t="shared" si="3"/>
        <v>17.179865951516689</v>
      </c>
      <c r="G62" s="1">
        <f t="shared" si="5"/>
        <v>20.120595618964597</v>
      </c>
      <c r="H62" s="1">
        <f t="shared" si="4"/>
        <v>0.11610272978130311</v>
      </c>
    </row>
    <row r="63" spans="1:8" x14ac:dyDescent="0.25">
      <c r="A63" t="s">
        <v>291</v>
      </c>
      <c r="B63" s="1">
        <v>34.690476190476197</v>
      </c>
      <c r="C63">
        <v>61</v>
      </c>
      <c r="D63">
        <f t="shared" si="1"/>
        <v>3721</v>
      </c>
      <c r="E63" s="1">
        <f t="shared" si="2"/>
        <v>34.899286383285983</v>
      </c>
      <c r="F63" s="1">
        <f t="shared" si="3"/>
        <v>21.320636464553697</v>
      </c>
      <c r="G63" s="1">
        <f t="shared" si="5"/>
        <v>19.435906319504916</v>
      </c>
      <c r="H63" s="1">
        <f t="shared" si="4"/>
        <v>4.3601696621259851E-2</v>
      </c>
    </row>
    <row r="64" spans="1:8" x14ac:dyDescent="0.25">
      <c r="A64" t="s">
        <v>292</v>
      </c>
      <c r="B64" s="1">
        <v>34.007142857142902</v>
      </c>
      <c r="C64">
        <v>62</v>
      </c>
      <c r="D64">
        <f t="shared" si="1"/>
        <v>3844</v>
      </c>
      <c r="E64" s="1">
        <f t="shared" si="2"/>
        <v>34.977540214790707</v>
      </c>
      <c r="F64" s="1">
        <f t="shared" si="3"/>
        <v>28.098065121526268</v>
      </c>
      <c r="G64" s="1">
        <f t="shared" si="5"/>
        <v>18.752047594089884</v>
      </c>
      <c r="H64" s="1">
        <f t="shared" si="4"/>
        <v>0.94167103172984179</v>
      </c>
    </row>
    <row r="65" spans="1:8" x14ac:dyDescent="0.25">
      <c r="A65" t="s">
        <v>293</v>
      </c>
      <c r="B65" s="1">
        <v>30.1065217391304</v>
      </c>
      <c r="C65">
        <v>63</v>
      </c>
      <c r="D65">
        <f t="shared" si="1"/>
        <v>3969</v>
      </c>
      <c r="E65" s="1">
        <f t="shared" si="2"/>
        <v>35.057066466319895</v>
      </c>
      <c r="F65" s="1">
        <f t="shared" si="3"/>
        <v>84.665429309982613</v>
      </c>
      <c r="G65" s="1">
        <f t="shared" si="5"/>
        <v>18.069616873172745</v>
      </c>
      <c r="H65" s="1">
        <f t="shared" si="4"/>
        <v>24.507893095903711</v>
      </c>
    </row>
    <row r="66" spans="1:8" x14ac:dyDescent="0.25">
      <c r="A66" t="s">
        <v>294</v>
      </c>
      <c r="B66" s="1">
        <v>27.816666666666698</v>
      </c>
      <c r="C66">
        <v>64</v>
      </c>
      <c r="D66">
        <f t="shared" si="1"/>
        <v>4096</v>
      </c>
      <c r="E66" s="1">
        <f t="shared" si="2"/>
        <v>35.137865137873547</v>
      </c>
      <c r="F66" s="1">
        <f t="shared" si="3"/>
        <v>132.04852770723346</v>
      </c>
      <c r="G66" s="1">
        <f t="shared" si="5"/>
        <v>17.389221301522998</v>
      </c>
      <c r="H66" s="1">
        <f t="shared" si="4"/>
        <v>53.599947054801497</v>
      </c>
    </row>
    <row r="67" spans="1:8" x14ac:dyDescent="0.25">
      <c r="A67" t="s">
        <v>295</v>
      </c>
      <c r="B67" s="1">
        <v>27.954545454545499</v>
      </c>
      <c r="C67">
        <v>65</v>
      </c>
      <c r="D67">
        <f t="shared" si="1"/>
        <v>4225</v>
      </c>
      <c r="E67" s="1">
        <f t="shared" si="2"/>
        <v>35.219936229451669</v>
      </c>
      <c r="F67" s="1">
        <f t="shared" si="3"/>
        <v>128.89874261079945</v>
      </c>
      <c r="G67" s="1">
        <f t="shared" si="5"/>
        <v>16.711477738226392</v>
      </c>
      <c r="H67" s="1">
        <f t="shared" si="4"/>
        <v>52.785903112091667</v>
      </c>
    </row>
    <row r="68" spans="1:8" x14ac:dyDescent="0.25">
      <c r="A68" t="s">
        <v>296</v>
      </c>
      <c r="B68" s="1">
        <v>27.352272727272702</v>
      </c>
      <c r="C68">
        <v>66</v>
      </c>
      <c r="D68">
        <f t="shared" ref="D68:D131" si="6">C68^2</f>
        <v>4356</v>
      </c>
      <c r="E68" s="1">
        <f t="shared" ref="E68:E131" si="7">$Q$3*C68^2+$Q$5</f>
        <v>35.303279741054261</v>
      </c>
      <c r="F68" s="1">
        <f t="shared" ref="F68:F131" si="8">(B68-$Q$11)^2</f>
        <v>142.93711107270778</v>
      </c>
      <c r="G68" s="1">
        <f t="shared" si="5"/>
        <v>16.037012756685055</v>
      </c>
      <c r="H68" s="1">
        <f t="shared" si="4"/>
        <v>63.218512533203551</v>
      </c>
    </row>
    <row r="69" spans="1:8" x14ac:dyDescent="0.25">
      <c r="A69" t="s">
        <v>297</v>
      </c>
      <c r="B69" s="1">
        <v>25.845238095238098</v>
      </c>
      <c r="C69">
        <v>67</v>
      </c>
      <c r="D69">
        <f t="shared" si="6"/>
        <v>4489</v>
      </c>
      <c r="E69" s="1">
        <f t="shared" si="7"/>
        <v>35.387895672681317</v>
      </c>
      <c r="F69" s="1">
        <f t="shared" si="8"/>
        <v>181.24336419096505</v>
      </c>
      <c r="G69" s="1">
        <f t="shared" si="5"/>
        <v>15.366462644617478</v>
      </c>
      <c r="H69" s="1">
        <f t="shared" si="4"/>
        <v>91.06231364033448</v>
      </c>
    </row>
    <row r="70" spans="1:8" x14ac:dyDescent="0.25">
      <c r="A70" t="s">
        <v>298</v>
      </c>
      <c r="B70" s="1">
        <v>25.902173913043502</v>
      </c>
      <c r="C70">
        <v>68</v>
      </c>
      <c r="D70">
        <f t="shared" si="6"/>
        <v>4624</v>
      </c>
      <c r="E70" s="1">
        <f t="shared" si="7"/>
        <v>35.473784024332836</v>
      </c>
      <c r="F70" s="1">
        <f t="shared" si="8"/>
        <v>179.7135901304253</v>
      </c>
      <c r="G70" s="1">
        <f t="shared" si="5"/>
        <v>14.700473404058409</v>
      </c>
      <c r="H70" s="1">
        <f t="shared" si="4"/>
        <v>91.615720122536231</v>
      </c>
    </row>
    <row r="71" spans="1:8" x14ac:dyDescent="0.25">
      <c r="A71" t="s">
        <v>299</v>
      </c>
      <c r="B71" s="1">
        <v>24.875</v>
      </c>
      <c r="C71">
        <v>69</v>
      </c>
      <c r="D71">
        <f t="shared" si="6"/>
        <v>4761</v>
      </c>
      <c r="E71" s="1">
        <f t="shared" si="7"/>
        <v>35.560944796008826</v>
      </c>
      <c r="F71" s="1">
        <f t="shared" si="8"/>
        <v>208.30870814711466</v>
      </c>
      <c r="G71" s="1">
        <f t="shared" si="5"/>
        <v>14.039700751358849</v>
      </c>
      <c r="H71" s="1">
        <f t="shared" si="4"/>
        <v>114.18941618334811</v>
      </c>
    </row>
    <row r="72" spans="1:8" x14ac:dyDescent="0.25">
      <c r="A72" t="s">
        <v>300</v>
      </c>
      <c r="B72" s="1">
        <v>21.488095238095202</v>
      </c>
      <c r="C72">
        <v>70</v>
      </c>
      <c r="D72">
        <f t="shared" si="6"/>
        <v>4900</v>
      </c>
      <c r="E72" s="1">
        <f t="shared" si="7"/>
        <v>35.649377987709286</v>
      </c>
      <c r="F72" s="1">
        <f t="shared" si="8"/>
        <v>317.54557230237714</v>
      </c>
      <c r="G72" s="1">
        <f t="shared" si="5"/>
        <v>13.384810117186172</v>
      </c>
      <c r="H72" s="1">
        <f t="shared" ref="H72:H135" si="9">(B72-E72)^2</f>
        <v>200.54192911451744</v>
      </c>
    </row>
    <row r="73" spans="1:8" x14ac:dyDescent="0.25">
      <c r="A73" t="s">
        <v>301</v>
      </c>
      <c r="B73" s="1">
        <v>18.568181818181799</v>
      </c>
      <c r="C73">
        <v>71</v>
      </c>
      <c r="D73">
        <f t="shared" si="6"/>
        <v>5041</v>
      </c>
      <c r="E73" s="1">
        <f t="shared" si="7"/>
        <v>35.73908359943421</v>
      </c>
      <c r="F73" s="1">
        <f t="shared" si="8"/>
        <v>430.13606220283742</v>
      </c>
      <c r="G73" s="1">
        <f t="shared" ref="G73:G136" si="10">(E73-$Q$11)^2</f>
        <v>12.736476646524114</v>
      </c>
      <c r="H73" s="1">
        <f t="shared" si="9"/>
        <v>294.83986798141723</v>
      </c>
    </row>
    <row r="74" spans="1:8" x14ac:dyDescent="0.25">
      <c r="A74" t="s">
        <v>302</v>
      </c>
      <c r="B74" s="1">
        <v>19.215909090909101</v>
      </c>
      <c r="C74">
        <v>72</v>
      </c>
      <c r="D74">
        <f t="shared" si="6"/>
        <v>5184</v>
      </c>
      <c r="E74" s="1">
        <f t="shared" si="7"/>
        <v>35.830061631183604</v>
      </c>
      <c r="F74" s="1">
        <f t="shared" si="8"/>
        <v>403.68824588726307</v>
      </c>
      <c r="G74" s="1">
        <f t="shared" si="10"/>
        <v>12.095385198672618</v>
      </c>
      <c r="H74" s="1">
        <f t="shared" si="9"/>
        <v>276.03006463150973</v>
      </c>
    </row>
    <row r="75" spans="1:8" x14ac:dyDescent="0.25">
      <c r="A75" t="s">
        <v>303</v>
      </c>
      <c r="B75" s="1">
        <v>22.170454545454501</v>
      </c>
      <c r="C75">
        <v>73</v>
      </c>
      <c r="D75">
        <f t="shared" si="6"/>
        <v>5329</v>
      </c>
      <c r="E75" s="1">
        <f t="shared" si="7"/>
        <v>35.922312082957461</v>
      </c>
      <c r="F75" s="1">
        <f t="shared" si="8"/>
        <v>293.69216225845088</v>
      </c>
      <c r="G75" s="1">
        <f t="shared" si="10"/>
        <v>11.462230347248044</v>
      </c>
      <c r="H75" s="1">
        <f t="shared" si="9"/>
        <v>189.11358573177699</v>
      </c>
    </row>
    <row r="76" spans="1:8" x14ac:dyDescent="0.25">
      <c r="A76" t="s">
        <v>304</v>
      </c>
      <c r="B76" s="1">
        <v>25.15</v>
      </c>
      <c r="C76">
        <v>74</v>
      </c>
      <c r="D76">
        <f t="shared" si="6"/>
        <v>5476</v>
      </c>
      <c r="E76" s="1">
        <f t="shared" si="7"/>
        <v>36.015834954755782</v>
      </c>
      <c r="F76" s="1">
        <f t="shared" si="8"/>
        <v>200.44623613243277</v>
      </c>
      <c r="G76" s="1">
        <f t="shared" si="10"/>
        <v>10.837716380183004</v>
      </c>
      <c r="H76" s="1">
        <f t="shared" si="9"/>
        <v>118.06636926399261</v>
      </c>
    </row>
    <row r="77" spans="1:8" x14ac:dyDescent="0.25">
      <c r="A77" t="s">
        <v>305</v>
      </c>
      <c r="B77" s="1">
        <v>24.6413043478261</v>
      </c>
      <c r="C77">
        <v>75</v>
      </c>
      <c r="D77">
        <f t="shared" si="6"/>
        <v>5625</v>
      </c>
      <c r="E77" s="1">
        <f t="shared" si="7"/>
        <v>36.11063024657858</v>
      </c>
      <c r="F77" s="1">
        <f t="shared" si="8"/>
        <v>215.10913547356247</v>
      </c>
      <c r="G77" s="1">
        <f t="shared" si="10"/>
        <v>10.22255729972634</v>
      </c>
      <c r="H77" s="1">
        <f t="shared" si="9"/>
        <v>131.54543657179437</v>
      </c>
    </row>
    <row r="78" spans="1:8" x14ac:dyDescent="0.25">
      <c r="A78" t="s">
        <v>306</v>
      </c>
      <c r="B78" s="1">
        <v>23.25</v>
      </c>
      <c r="C78">
        <v>76</v>
      </c>
      <c r="D78">
        <f t="shared" si="6"/>
        <v>5776</v>
      </c>
      <c r="E78" s="1">
        <f t="shared" si="7"/>
        <v>36.206697958425835</v>
      </c>
      <c r="F78" s="1">
        <f t="shared" si="8"/>
        <v>257.85627005205333</v>
      </c>
      <c r="G78" s="1">
        <f t="shared" si="10"/>
        <v>9.6174768224434324</v>
      </c>
      <c r="H78" s="1">
        <f t="shared" si="9"/>
        <v>167.87602198587621</v>
      </c>
    </row>
    <row r="79" spans="1:8" x14ac:dyDescent="0.25">
      <c r="A79" t="s">
        <v>307</v>
      </c>
      <c r="B79" s="1">
        <v>21.6413043478261</v>
      </c>
      <c r="C79">
        <v>77</v>
      </c>
      <c r="D79">
        <f t="shared" si="6"/>
        <v>5929</v>
      </c>
      <c r="E79" s="1">
        <f t="shared" si="7"/>
        <v>36.30403809029756</v>
      </c>
      <c r="F79" s="1">
        <f t="shared" si="8"/>
        <v>312.10873136495422</v>
      </c>
      <c r="G79" s="1">
        <f t="shared" si="10"/>
        <v>9.0232083792157436</v>
      </c>
      <c r="H79" s="1">
        <f t="shared" si="9"/>
        <v>214.9957608026111</v>
      </c>
    </row>
    <row r="80" spans="1:8" x14ac:dyDescent="0.25">
      <c r="A80" t="s">
        <v>308</v>
      </c>
      <c r="B80" s="1">
        <v>19.75</v>
      </c>
      <c r="C80">
        <v>78</v>
      </c>
      <c r="D80">
        <f t="shared" si="6"/>
        <v>6084</v>
      </c>
      <c r="E80" s="1">
        <f t="shared" si="7"/>
        <v>36.402650642193755</v>
      </c>
      <c r="F80" s="1">
        <f t="shared" si="8"/>
        <v>382.51159569345975</v>
      </c>
      <c r="G80" s="1">
        <f t="shared" si="10"/>
        <v>8.4404951152411449</v>
      </c>
      <c r="H80" s="1">
        <f t="shared" si="9"/>
        <v>277.31077341095607</v>
      </c>
    </row>
    <row r="81" spans="1:8" x14ac:dyDescent="0.25">
      <c r="A81" t="s">
        <v>309</v>
      </c>
      <c r="B81" s="1">
        <v>20.3642857142857</v>
      </c>
      <c r="C81">
        <v>79</v>
      </c>
      <c r="D81">
        <f t="shared" si="6"/>
        <v>6241</v>
      </c>
      <c r="E81" s="1">
        <f t="shared" si="7"/>
        <v>36.502535614114414</v>
      </c>
      <c r="F81" s="1">
        <f t="shared" si="8"/>
        <v>358.86066098905019</v>
      </c>
      <c r="G81" s="1">
        <f t="shared" si="10"/>
        <v>7.8700898900338547</v>
      </c>
      <c r="H81" s="1">
        <f t="shared" si="9"/>
        <v>260.44310982932154</v>
      </c>
    </row>
    <row r="82" spans="1:8" x14ac:dyDescent="0.25">
      <c r="A82" t="s">
        <v>310</v>
      </c>
      <c r="B82" s="1">
        <v>20.406521739130401</v>
      </c>
      <c r="C82">
        <v>80</v>
      </c>
      <c r="D82">
        <f t="shared" si="6"/>
        <v>6400</v>
      </c>
      <c r="E82" s="1">
        <f t="shared" si="7"/>
        <v>36.603693006059544</v>
      </c>
      <c r="F82" s="1">
        <f t="shared" si="8"/>
        <v>357.26223863417908</v>
      </c>
      <c r="G82" s="1">
        <f t="shared" si="10"/>
        <v>7.3127552774243254</v>
      </c>
      <c r="H82" s="1">
        <f t="shared" si="9"/>
        <v>262.34835705023499</v>
      </c>
    </row>
    <row r="83" spans="1:8" x14ac:dyDescent="0.25">
      <c r="A83" t="s">
        <v>311</v>
      </c>
      <c r="B83" s="1">
        <v>20.428571428571399</v>
      </c>
      <c r="C83">
        <v>81</v>
      </c>
      <c r="D83">
        <f t="shared" si="6"/>
        <v>6561</v>
      </c>
      <c r="E83" s="1">
        <f t="shared" si="7"/>
        <v>36.706122818029137</v>
      </c>
      <c r="F83" s="1">
        <f t="shared" si="8"/>
        <v>356.42918562012699</v>
      </c>
      <c r="G83" s="1">
        <f t="shared" si="10"/>
        <v>6.769263565559398</v>
      </c>
      <c r="H83" s="1">
        <f t="shared" si="9"/>
        <v>264.95867923643755</v>
      </c>
    </row>
    <row r="84" spans="1:8" x14ac:dyDescent="0.25">
      <c r="A84" t="s">
        <v>312</v>
      </c>
      <c r="B84" s="1">
        <v>20.234090909090899</v>
      </c>
      <c r="C84">
        <v>82</v>
      </c>
      <c r="D84">
        <f t="shared" si="6"/>
        <v>6724</v>
      </c>
      <c r="E84" s="1">
        <f t="shared" si="7"/>
        <v>36.8098250500232</v>
      </c>
      <c r="F84" s="1">
        <f t="shared" si="8"/>
        <v>363.81033297340019</v>
      </c>
      <c r="G84" s="1">
        <f t="shared" si="10"/>
        <v>6.2403967569021512</v>
      </c>
      <c r="H84" s="1">
        <f t="shared" si="9"/>
        <v>274.75496231086868</v>
      </c>
    </row>
    <row r="85" spans="1:8" x14ac:dyDescent="0.25">
      <c r="A85" t="s">
        <v>313</v>
      </c>
      <c r="B85" s="1">
        <v>22.345454545454501</v>
      </c>
      <c r="C85">
        <v>83</v>
      </c>
      <c r="D85">
        <f t="shared" si="6"/>
        <v>6889</v>
      </c>
      <c r="E85" s="1">
        <f t="shared" si="7"/>
        <v>36.914799702041726</v>
      </c>
      <c r="F85" s="1">
        <f t="shared" si="8"/>
        <v>287.72468006728963</v>
      </c>
      <c r="G85" s="1">
        <f t="shared" si="10"/>
        <v>5.7269465682320462</v>
      </c>
      <c r="H85" s="1">
        <f t="shared" si="9"/>
        <v>212.26581829177164</v>
      </c>
    </row>
    <row r="86" spans="1:8" x14ac:dyDescent="0.25">
      <c r="A86" t="s">
        <v>314</v>
      </c>
      <c r="B86" s="1">
        <v>24.6904761904762</v>
      </c>
      <c r="C86">
        <v>84</v>
      </c>
      <c r="D86">
        <f t="shared" si="6"/>
        <v>7056</v>
      </c>
      <c r="E86" s="1">
        <f t="shared" si="7"/>
        <v>37.021046774084724</v>
      </c>
      <c r="F86" s="1">
        <f t="shared" si="8"/>
        <v>213.66918591619077</v>
      </c>
      <c r="G86" s="1">
        <f t="shared" si="10"/>
        <v>5.2297144306447887</v>
      </c>
      <c r="H86" s="1">
        <f t="shared" si="9"/>
        <v>152.04297091735182</v>
      </c>
    </row>
    <row r="87" spans="1:8" x14ac:dyDescent="0.25">
      <c r="A87" t="s">
        <v>315</v>
      </c>
      <c r="B87" s="1">
        <v>23.369565217391301</v>
      </c>
      <c r="C87">
        <v>85</v>
      </c>
      <c r="D87">
        <f t="shared" si="6"/>
        <v>7225</v>
      </c>
      <c r="E87" s="1">
        <f t="shared" si="7"/>
        <v>37.128566266152184</v>
      </c>
      <c r="F87" s="1">
        <f t="shared" si="8"/>
        <v>254.03063240861894</v>
      </c>
      <c r="G87" s="1">
        <f t="shared" si="10"/>
        <v>4.7495114895524626</v>
      </c>
      <c r="H87" s="1">
        <f t="shared" si="9"/>
        <v>189.31010985980308</v>
      </c>
    </row>
    <row r="88" spans="1:8" x14ac:dyDescent="0.25">
      <c r="A88" t="s">
        <v>316</v>
      </c>
      <c r="B88" s="1">
        <v>21.762499999999999</v>
      </c>
      <c r="C88">
        <v>86</v>
      </c>
      <c r="D88">
        <f t="shared" si="6"/>
        <v>7396</v>
      </c>
      <c r="E88" s="1">
        <f t="shared" si="7"/>
        <v>37.237358178244115</v>
      </c>
      <c r="F88" s="1">
        <f t="shared" si="8"/>
        <v>307.84118969965107</v>
      </c>
      <c r="G88" s="1">
        <f t="shared" si="10"/>
        <v>4.2871586046833983</v>
      </c>
      <c r="H88" s="1">
        <f t="shared" si="9"/>
        <v>239.4712356367688</v>
      </c>
    </row>
    <row r="89" spans="1:8" x14ac:dyDescent="0.25">
      <c r="A89" t="s">
        <v>317</v>
      </c>
      <c r="B89" s="1">
        <v>21.727272727272702</v>
      </c>
      <c r="C89">
        <v>87</v>
      </c>
      <c r="D89">
        <f t="shared" si="6"/>
        <v>7569</v>
      </c>
      <c r="E89" s="1">
        <f t="shared" si="7"/>
        <v>37.347422510360509</v>
      </c>
      <c r="F89" s="1">
        <f t="shared" si="8"/>
        <v>309.07858410029303</v>
      </c>
      <c r="G89" s="1">
        <f t="shared" si="10"/>
        <v>3.8434863500823018</v>
      </c>
      <c r="H89" s="1">
        <f t="shared" si="9"/>
        <v>243.98907924609807</v>
      </c>
    </row>
    <row r="90" spans="1:8" x14ac:dyDescent="0.25">
      <c r="A90" t="s">
        <v>318</v>
      </c>
      <c r="B90" s="1">
        <v>20.845238095238098</v>
      </c>
      <c r="C90">
        <v>88</v>
      </c>
      <c r="D90">
        <f t="shared" si="6"/>
        <v>7744</v>
      </c>
      <c r="E90" s="1">
        <f t="shared" si="7"/>
        <v>37.458759262501374</v>
      </c>
      <c r="F90" s="1">
        <f t="shared" si="8"/>
        <v>340.87001986916465</v>
      </c>
      <c r="G90" s="1">
        <f t="shared" si="10"/>
        <v>3.4193350141101306</v>
      </c>
      <c r="H90" s="1">
        <f t="shared" si="9"/>
        <v>276.0090855751049</v>
      </c>
    </row>
    <row r="91" spans="1:8" x14ac:dyDescent="0.25">
      <c r="A91" t="s">
        <v>319</v>
      </c>
      <c r="B91" s="1">
        <v>21.978260869565201</v>
      </c>
      <c r="C91">
        <v>89</v>
      </c>
      <c r="D91">
        <f t="shared" si="6"/>
        <v>7921</v>
      </c>
      <c r="E91" s="1">
        <f t="shared" si="7"/>
        <v>37.571368434666702</v>
      </c>
      <c r="F91" s="1">
        <f t="shared" si="8"/>
        <v>300.31651935005885</v>
      </c>
      <c r="G91" s="1">
        <f t="shared" si="10"/>
        <v>3.015554599444211</v>
      </c>
      <c r="H91" s="1">
        <f t="shared" si="9"/>
        <v>243.14500353682567</v>
      </c>
    </row>
    <row r="92" spans="1:8" x14ac:dyDescent="0.25">
      <c r="A92" t="s">
        <v>320</v>
      </c>
      <c r="B92" s="1">
        <v>23.071428571428601</v>
      </c>
      <c r="C92">
        <v>90</v>
      </c>
      <c r="D92">
        <f t="shared" si="6"/>
        <v>8100</v>
      </c>
      <c r="E92" s="1">
        <f t="shared" si="7"/>
        <v>37.685250026856501</v>
      </c>
      <c r="F92" s="1">
        <f t="shared" si="8"/>
        <v>263.62312340110373</v>
      </c>
      <c r="G92" s="1">
        <f t="shared" si="10"/>
        <v>2.6330048230781289</v>
      </c>
      <c r="H92" s="1">
        <f t="shared" si="9"/>
        <v>213.5637775311248</v>
      </c>
    </row>
    <row r="93" spans="1:8" x14ac:dyDescent="0.25">
      <c r="A93" t="s">
        <v>321</v>
      </c>
      <c r="B93" s="1">
        <v>23.4159090909091</v>
      </c>
      <c r="C93">
        <v>91</v>
      </c>
      <c r="D93">
        <f t="shared" si="6"/>
        <v>8281</v>
      </c>
      <c r="E93" s="1">
        <f t="shared" si="7"/>
        <v>37.800404039070763</v>
      </c>
      <c r="F93" s="1">
        <f t="shared" si="8"/>
        <v>252.55549148121187</v>
      </c>
      <c r="G93" s="1">
        <f t="shared" si="10"/>
        <v>2.27255511632183</v>
      </c>
      <c r="H93" s="1">
        <f t="shared" si="9"/>
        <v>206.9136949136884</v>
      </c>
    </row>
    <row r="94" spans="1:8" x14ac:dyDescent="0.25">
      <c r="A94" t="s">
        <v>322</v>
      </c>
      <c r="B94" s="1">
        <v>26.047826086956501</v>
      </c>
      <c r="C94">
        <v>92</v>
      </c>
      <c r="D94">
        <f t="shared" si="6"/>
        <v>8464</v>
      </c>
      <c r="E94" s="1">
        <f t="shared" si="7"/>
        <v>37.916830471309495</v>
      </c>
      <c r="F94" s="1">
        <f t="shared" si="8"/>
        <v>175.82965732423128</v>
      </c>
      <c r="G94" s="1">
        <f t="shared" si="10"/>
        <v>1.9350846248015277</v>
      </c>
      <c r="H94" s="1">
        <f t="shared" si="9"/>
        <v>140.87326507579061</v>
      </c>
    </row>
    <row r="95" spans="1:8" x14ac:dyDescent="0.25">
      <c r="A95" t="s">
        <v>323</v>
      </c>
      <c r="B95" s="1">
        <v>27.107500000000002</v>
      </c>
      <c r="C95">
        <v>93</v>
      </c>
      <c r="D95">
        <f t="shared" si="6"/>
        <v>8649</v>
      </c>
      <c r="E95" s="1">
        <f t="shared" si="7"/>
        <v>38.034529323572698</v>
      </c>
      <c r="F95" s="1">
        <f t="shared" si="8"/>
        <v>148.84984954156039</v>
      </c>
      <c r="G95" s="1">
        <f t="shared" si="10"/>
        <v>1.6214822084597709</v>
      </c>
      <c r="H95" s="1">
        <f t="shared" si="9"/>
        <v>119.39996983821759</v>
      </c>
    </row>
    <row r="96" spans="1:8" x14ac:dyDescent="0.25">
      <c r="A96" t="s">
        <v>324</v>
      </c>
      <c r="B96" s="1">
        <v>27.508695652173898</v>
      </c>
      <c r="C96">
        <v>94</v>
      </c>
      <c r="D96">
        <f t="shared" si="6"/>
        <v>8836</v>
      </c>
      <c r="E96" s="1">
        <f t="shared" si="7"/>
        <v>38.153500595860358</v>
      </c>
      <c r="F96" s="1">
        <f t="shared" si="8"/>
        <v>139.2213096841129</v>
      </c>
      <c r="G96" s="1">
        <f t="shared" si="10"/>
        <v>1.3326464415554538</v>
      </c>
      <c r="H96" s="1">
        <f t="shared" si="9"/>
        <v>113.31187228913168</v>
      </c>
    </row>
    <row r="97" spans="1:8" x14ac:dyDescent="0.25">
      <c r="A97" t="s">
        <v>325</v>
      </c>
      <c r="B97" s="1">
        <v>28.934090909090902</v>
      </c>
      <c r="C97">
        <v>95</v>
      </c>
      <c r="D97">
        <f t="shared" si="6"/>
        <v>9025</v>
      </c>
      <c r="E97" s="1">
        <f t="shared" si="7"/>
        <v>38.273744288172495</v>
      </c>
      <c r="F97" s="1">
        <f t="shared" si="8"/>
        <v>107.61599105437161</v>
      </c>
      <c r="G97" s="1">
        <f t="shared" si="10"/>
        <v>1.0694856126636954</v>
      </c>
      <c r="H97" s="1">
        <f t="shared" si="9"/>
        <v>87.229125241390221</v>
      </c>
    </row>
    <row r="98" spans="1:8" x14ac:dyDescent="0.25">
      <c r="A98" t="s">
        <v>326</v>
      </c>
      <c r="B98" s="1">
        <v>28.761904761904798</v>
      </c>
      <c r="C98">
        <v>96</v>
      </c>
      <c r="D98">
        <f t="shared" si="6"/>
        <v>9216</v>
      </c>
      <c r="E98" s="1">
        <f t="shared" si="7"/>
        <v>38.395260400509088</v>
      </c>
      <c r="F98" s="1">
        <f t="shared" si="8"/>
        <v>111.21809282312572</v>
      </c>
      <c r="G98" s="1">
        <f t="shared" si="10"/>
        <v>0.83291772467602532</v>
      </c>
      <c r="H98" s="1">
        <f t="shared" si="9"/>
        <v>92.801540859829061</v>
      </c>
    </row>
    <row r="99" spans="1:8" x14ac:dyDescent="0.25">
      <c r="A99" t="s">
        <v>327</v>
      </c>
      <c r="B99" s="1">
        <v>28.710869565217401</v>
      </c>
      <c r="C99">
        <v>97</v>
      </c>
      <c r="D99">
        <f t="shared" si="6"/>
        <v>9409</v>
      </c>
      <c r="E99" s="1">
        <f t="shared" si="7"/>
        <v>38.518048932870158</v>
      </c>
      <c r="F99" s="1">
        <f t="shared" si="8"/>
        <v>112.29713167079751</v>
      </c>
      <c r="G99" s="1">
        <f t="shared" si="10"/>
        <v>0.62387049480019674</v>
      </c>
      <c r="H99" s="1">
        <f t="shared" si="9"/>
        <v>96.180767149313937</v>
      </c>
    </row>
    <row r="100" spans="1:8" x14ac:dyDescent="0.25">
      <c r="A100" t="s">
        <v>328</v>
      </c>
      <c r="B100" s="1">
        <v>28.645</v>
      </c>
      <c r="C100">
        <v>98</v>
      </c>
      <c r="D100">
        <f t="shared" si="6"/>
        <v>9604</v>
      </c>
      <c r="E100" s="1">
        <f t="shared" si="7"/>
        <v>38.642109885255692</v>
      </c>
      <c r="F100" s="1">
        <f t="shared" si="8"/>
        <v>113.69751452765692</v>
      </c>
      <c r="G100" s="1">
        <f t="shared" si="10"/>
        <v>0.44328135456034323</v>
      </c>
      <c r="H100" s="1">
        <f t="shared" si="9"/>
        <v>99.942206057877087</v>
      </c>
    </row>
    <row r="101" spans="1:8" x14ac:dyDescent="0.25">
      <c r="A101" t="s">
        <v>329</v>
      </c>
      <c r="B101" s="1">
        <v>27.202380952380999</v>
      </c>
      <c r="C101">
        <v>99</v>
      </c>
      <c r="D101">
        <f t="shared" si="6"/>
        <v>9801</v>
      </c>
      <c r="E101" s="1">
        <f t="shared" si="7"/>
        <v>38.76744325766569</v>
      </c>
      <c r="F101" s="1">
        <f t="shared" si="8"/>
        <v>146.543680098718</v>
      </c>
      <c r="G101" s="1">
        <f t="shared" si="10"/>
        <v>0.2920974497968809</v>
      </c>
      <c r="H101" s="1">
        <f t="shared" si="9"/>
        <v>133.75066612511685</v>
      </c>
    </row>
    <row r="102" spans="1:8" x14ac:dyDescent="0.25">
      <c r="A102" t="s">
        <v>330</v>
      </c>
      <c r="B102" s="1">
        <v>25.704545454545499</v>
      </c>
      <c r="C102">
        <v>100</v>
      </c>
      <c r="D102">
        <f t="shared" si="6"/>
        <v>10000</v>
      </c>
      <c r="E102" s="1">
        <f t="shared" si="7"/>
        <v>38.894049050100158</v>
      </c>
      <c r="F102" s="1">
        <f t="shared" si="8"/>
        <v>185.05135454910595</v>
      </c>
      <c r="G102" s="1">
        <f t="shared" si="10"/>
        <v>0.17127564066653186</v>
      </c>
      <c r="H102" s="1">
        <f t="shared" si="9"/>
        <v>173.96300509714925</v>
      </c>
    </row>
    <row r="103" spans="1:8" x14ac:dyDescent="0.25">
      <c r="A103" t="s">
        <v>331</v>
      </c>
      <c r="B103" s="1">
        <v>24.684782608695599</v>
      </c>
      <c r="C103">
        <v>101</v>
      </c>
      <c r="D103">
        <f t="shared" si="6"/>
        <v>10201</v>
      </c>
      <c r="E103" s="1">
        <f t="shared" si="7"/>
        <v>39.021927262559096</v>
      </c>
      <c r="F103" s="1">
        <f t="shared" si="8"/>
        <v>213.83566937053857</v>
      </c>
      <c r="G103" s="1">
        <f t="shared" si="10"/>
        <v>8.1782501642341576E-2</v>
      </c>
      <c r="H103" s="1">
        <f t="shared" si="9"/>
        <v>205.55371682580665</v>
      </c>
    </row>
    <row r="104" spans="1:8" x14ac:dyDescent="0.25">
      <c r="A104" t="s">
        <v>332</v>
      </c>
      <c r="B104" s="1">
        <v>24.475000000000001</v>
      </c>
      <c r="C104">
        <v>102</v>
      </c>
      <c r="D104">
        <f t="shared" si="6"/>
        <v>10404</v>
      </c>
      <c r="E104" s="1">
        <f t="shared" si="7"/>
        <v>39.151077895042498</v>
      </c>
      <c r="F104" s="1">
        <f t="shared" si="8"/>
        <v>220.01503107756105</v>
      </c>
      <c r="G104" s="1">
        <f t="shared" si="10"/>
        <v>2.4594321513669692E-2</v>
      </c>
      <c r="H104" s="1">
        <f t="shared" si="9"/>
        <v>215.38726238135499</v>
      </c>
    </row>
    <row r="105" spans="1:8" x14ac:dyDescent="0.25">
      <c r="A105" t="s">
        <v>333</v>
      </c>
      <c r="B105" s="1">
        <v>25.228260869565201</v>
      </c>
      <c r="C105">
        <v>103</v>
      </c>
      <c r="D105">
        <f t="shared" si="6"/>
        <v>10609</v>
      </c>
      <c r="E105" s="1">
        <f t="shared" si="7"/>
        <v>39.281500947550363</v>
      </c>
      <c r="F105" s="1">
        <f t="shared" si="8"/>
        <v>198.2363411923553</v>
      </c>
      <c r="G105" s="1">
        <f t="shared" si="10"/>
        <v>6.9710338618017933E-4</v>
      </c>
      <c r="H105" s="1">
        <f t="shared" si="9"/>
        <v>197.4935566894884</v>
      </c>
    </row>
    <row r="106" spans="1:8" x14ac:dyDescent="0.25">
      <c r="A106" t="s">
        <v>334</v>
      </c>
      <c r="B106" s="1">
        <v>25.284090909090899</v>
      </c>
      <c r="C106">
        <v>104</v>
      </c>
      <c r="D106">
        <f t="shared" si="6"/>
        <v>10816</v>
      </c>
      <c r="E106" s="1">
        <f t="shared" si="7"/>
        <v>39.413196420082699</v>
      </c>
      <c r="F106" s="1">
        <f t="shared" si="8"/>
        <v>196.66732415833189</v>
      </c>
      <c r="G106" s="1">
        <f t="shared" si="10"/>
        <v>1.1086564681850396E-2</v>
      </c>
      <c r="H106" s="1">
        <f t="shared" si="9"/>
        <v>199.63162254073882</v>
      </c>
    </row>
    <row r="107" spans="1:8" x14ac:dyDescent="0.25">
      <c r="A107" t="s">
        <v>335</v>
      </c>
      <c r="B107" s="1">
        <v>25.4119047619048</v>
      </c>
      <c r="C107">
        <v>105</v>
      </c>
      <c r="D107">
        <f t="shared" si="6"/>
        <v>11025</v>
      </c>
      <c r="E107" s="1">
        <f t="shared" si="7"/>
        <v>39.546164312639505</v>
      </c>
      <c r="F107" s="1">
        <f t="shared" si="8"/>
        <v>193.0987854608525</v>
      </c>
      <c r="G107" s="1">
        <f t="shared" si="10"/>
        <v>5.6768137138973815E-2</v>
      </c>
      <c r="H107" s="1">
        <f t="shared" si="9"/>
        <v>199.77729304753521</v>
      </c>
    </row>
    <row r="108" spans="1:8" x14ac:dyDescent="0.25">
      <c r="A108" t="s">
        <v>336</v>
      </c>
      <c r="B108" s="1">
        <v>24.917391304347799</v>
      </c>
      <c r="C108">
        <v>106</v>
      </c>
      <c r="D108">
        <f t="shared" si="6"/>
        <v>11236</v>
      </c>
      <c r="E108" s="1">
        <f t="shared" si="7"/>
        <v>39.680404625220774</v>
      </c>
      <c r="F108" s="1">
        <f t="shared" si="8"/>
        <v>207.08684594619265</v>
      </c>
      <c r="G108" s="1">
        <f t="shared" si="10"/>
        <v>0.13875696681215066</v>
      </c>
      <c r="H108" s="1">
        <f t="shared" si="9"/>
        <v>217.9465623122729</v>
      </c>
    </row>
    <row r="109" spans="1:8" x14ac:dyDescent="0.25">
      <c r="A109" t="s">
        <v>337</v>
      </c>
      <c r="B109" s="1">
        <v>24.988095238095202</v>
      </c>
      <c r="C109">
        <v>107</v>
      </c>
      <c r="D109">
        <f t="shared" si="6"/>
        <v>11449</v>
      </c>
      <c r="E109" s="1">
        <f t="shared" si="7"/>
        <v>39.815917357826507</v>
      </c>
      <c r="F109" s="1">
        <f t="shared" si="8"/>
        <v>205.05691332763715</v>
      </c>
      <c r="G109" s="1">
        <f t="shared" si="10"/>
        <v>0.25807791407229269</v>
      </c>
      <c r="H109" s="1">
        <f t="shared" si="9"/>
        <v>219.86430881439298</v>
      </c>
    </row>
    <row r="110" spans="1:8" x14ac:dyDescent="0.25">
      <c r="A110" t="s">
        <v>338</v>
      </c>
      <c r="B110" s="1">
        <v>25.625</v>
      </c>
      <c r="C110">
        <v>108</v>
      </c>
      <c r="D110">
        <f t="shared" si="6"/>
        <v>11664</v>
      </c>
      <c r="E110" s="1">
        <f t="shared" si="7"/>
        <v>39.95270251045671</v>
      </c>
      <c r="F110" s="1">
        <f t="shared" si="8"/>
        <v>187.22185265252756</v>
      </c>
      <c r="G110" s="1">
        <f t="shared" si="10"/>
        <v>0.41576555360663286</v>
      </c>
      <c r="H110" s="1">
        <f t="shared" si="9"/>
        <v>205.28305922814752</v>
      </c>
    </row>
    <row r="111" spans="1:8" x14ac:dyDescent="0.25">
      <c r="A111" t="s">
        <v>339</v>
      </c>
      <c r="B111" s="1">
        <v>24.6413043478261</v>
      </c>
      <c r="C111">
        <v>109</v>
      </c>
      <c r="D111">
        <f t="shared" si="6"/>
        <v>11881</v>
      </c>
      <c r="E111" s="1">
        <f t="shared" si="7"/>
        <v>40.090760083111384</v>
      </c>
      <c r="F111" s="1">
        <f t="shared" si="8"/>
        <v>215.10913547356247</v>
      </c>
      <c r="G111" s="1">
        <f t="shared" si="10"/>
        <v>0.61286417441871255</v>
      </c>
      <c r="H111" s="1">
        <f t="shared" si="9"/>
        <v>238.68568251653934</v>
      </c>
    </row>
    <row r="112" spans="1:8" x14ac:dyDescent="0.25">
      <c r="A112" t="s">
        <v>340</v>
      </c>
      <c r="B112" s="1">
        <v>24.6875</v>
      </c>
      <c r="C112">
        <v>110</v>
      </c>
      <c r="D112">
        <f t="shared" si="6"/>
        <v>12100</v>
      </c>
      <c r="E112" s="1">
        <f t="shared" si="7"/>
        <v>40.230090075790521</v>
      </c>
      <c r="F112" s="1">
        <f t="shared" si="8"/>
        <v>213.75620327076143</v>
      </c>
      <c r="G112" s="1">
        <f t="shared" si="10"/>
        <v>0.85042777982837237</v>
      </c>
      <c r="H112" s="1">
        <f t="shared" si="9"/>
        <v>241.572106264062</v>
      </c>
    </row>
    <row r="113" spans="1:8" x14ac:dyDescent="0.25">
      <c r="A113" t="s">
        <v>341</v>
      </c>
      <c r="B113" s="1">
        <v>24.6613636363636</v>
      </c>
      <c r="C113">
        <v>111</v>
      </c>
      <c r="D113">
        <f t="shared" si="6"/>
        <v>12321</v>
      </c>
      <c r="E113" s="1">
        <f t="shared" si="7"/>
        <v>40.370692488494122</v>
      </c>
      <c r="F113" s="1">
        <f t="shared" si="8"/>
        <v>214.52113475356285</v>
      </c>
      <c r="G113" s="1">
        <f t="shared" si="10"/>
        <v>1.1295200874717719</v>
      </c>
      <c r="H113" s="1">
        <f t="shared" si="9"/>
        <v>246.78301298438046</v>
      </c>
    </row>
    <row r="114" spans="1:8" x14ac:dyDescent="0.25">
      <c r="A114" t="s">
        <v>342</v>
      </c>
      <c r="B114" s="1">
        <v>29.9636363636364</v>
      </c>
      <c r="C114">
        <v>112</v>
      </c>
      <c r="D114">
        <f t="shared" si="6"/>
        <v>12544</v>
      </c>
      <c r="E114" s="1">
        <f t="shared" si="7"/>
        <v>40.512567321222193</v>
      </c>
      <c r="F114" s="1">
        <f t="shared" si="8"/>
        <v>87.315331363040883</v>
      </c>
      <c r="G114" s="1">
        <f t="shared" si="10"/>
        <v>1.4512145293013996</v>
      </c>
      <c r="H114" s="1">
        <f t="shared" si="9"/>
        <v>111.27994434791191</v>
      </c>
    </row>
    <row r="115" spans="1:8" x14ac:dyDescent="0.25">
      <c r="A115" t="s">
        <v>343</v>
      </c>
      <c r="B115" s="1">
        <v>33.511904761904802</v>
      </c>
      <c r="C115">
        <v>113</v>
      </c>
      <c r="D115">
        <f t="shared" si="6"/>
        <v>12769</v>
      </c>
      <c r="E115" s="1">
        <f t="shared" si="7"/>
        <v>40.655714573974734</v>
      </c>
      <c r="F115" s="1">
        <f t="shared" si="8"/>
        <v>33.593603262169729</v>
      </c>
      <c r="G115" s="1">
        <f t="shared" si="10"/>
        <v>1.8165942515860454</v>
      </c>
      <c r="H115" s="1">
        <f t="shared" si="9"/>
        <v>51.03401863102664</v>
      </c>
    </row>
    <row r="116" spans="1:8" x14ac:dyDescent="0.25">
      <c r="A116" t="s">
        <v>344</v>
      </c>
      <c r="B116" s="1">
        <v>33.088636363636397</v>
      </c>
      <c r="C116">
        <v>114</v>
      </c>
      <c r="D116">
        <f t="shared" si="6"/>
        <v>12996</v>
      </c>
      <c r="E116" s="1">
        <f t="shared" si="7"/>
        <v>40.800134246751739</v>
      </c>
      <c r="F116" s="1">
        <f t="shared" si="8"/>
        <v>38.679285741655576</v>
      </c>
      <c r="G116" s="1">
        <f t="shared" si="10"/>
        <v>2.2267521149107896</v>
      </c>
      <c r="H116" s="1">
        <f t="shared" si="9"/>
        <v>59.467199601292407</v>
      </c>
    </row>
    <row r="117" spans="1:8" x14ac:dyDescent="0.25">
      <c r="A117" t="s">
        <v>345</v>
      </c>
      <c r="B117" s="1">
        <v>32.360869565217399</v>
      </c>
      <c r="C117">
        <v>115</v>
      </c>
      <c r="D117">
        <f t="shared" si="6"/>
        <v>13225</v>
      </c>
      <c r="E117" s="1">
        <f t="shared" si="7"/>
        <v>40.945826339553207</v>
      </c>
      <c r="F117" s="1">
        <f t="shared" si="8"/>
        <v>48.261282756560746</v>
      </c>
      <c r="G117" s="1">
        <f t="shared" si="10"/>
        <v>2.6827906941770396</v>
      </c>
      <c r="H117" s="1">
        <f t="shared" si="9"/>
        <v>73.701482817214284</v>
      </c>
    </row>
    <row r="118" spans="1:8" x14ac:dyDescent="0.25">
      <c r="A118" t="s">
        <v>346</v>
      </c>
      <c r="B118" s="1">
        <v>31.376190476190501</v>
      </c>
      <c r="C118">
        <v>116</v>
      </c>
      <c r="D118">
        <f t="shared" si="6"/>
        <v>13456</v>
      </c>
      <c r="E118" s="1">
        <f t="shared" si="7"/>
        <v>41.092790852379153</v>
      </c>
      <c r="F118" s="1">
        <f t="shared" si="8"/>
        <v>62.912074078728658</v>
      </c>
      <c r="G118" s="1">
        <f t="shared" si="10"/>
        <v>3.1858222786025654</v>
      </c>
      <c r="H118" s="1">
        <f t="shared" si="9"/>
        <v>94.412322870549445</v>
      </c>
    </row>
    <row r="119" spans="1:8" x14ac:dyDescent="0.25">
      <c r="A119" t="s">
        <v>347</v>
      </c>
      <c r="B119" s="1">
        <v>29.981818181818198</v>
      </c>
      <c r="C119">
        <v>117</v>
      </c>
      <c r="D119">
        <f t="shared" si="6"/>
        <v>13689</v>
      </c>
      <c r="E119" s="1">
        <f t="shared" si="7"/>
        <v>41.241027785229555</v>
      </c>
      <c r="F119" s="1">
        <f t="shared" si="8"/>
        <v>86.975870403392875</v>
      </c>
      <c r="G119" s="1">
        <f t="shared" si="10"/>
        <v>3.7369688717213285</v>
      </c>
      <c r="H119" s="1">
        <f t="shared" si="9"/>
        <v>126.76980089355052</v>
      </c>
    </row>
    <row r="120" spans="1:8" x14ac:dyDescent="0.25">
      <c r="A120" t="s">
        <v>348</v>
      </c>
      <c r="B120" s="1">
        <v>29.636363636363601</v>
      </c>
      <c r="C120">
        <v>118</v>
      </c>
      <c r="D120">
        <f t="shared" si="6"/>
        <v>13924</v>
      </c>
      <c r="E120" s="1">
        <f t="shared" si="7"/>
        <v>41.390537138104435</v>
      </c>
      <c r="F120" s="1">
        <f t="shared" si="8"/>
        <v>93.538686487952972</v>
      </c>
      <c r="G120" s="1">
        <f t="shared" si="10"/>
        <v>4.3373621913837548</v>
      </c>
      <c r="H120" s="1">
        <f t="shared" si="9"/>
        <v>138.16059470902636</v>
      </c>
    </row>
    <row r="121" spans="1:8" x14ac:dyDescent="0.25">
      <c r="A121" t="s">
        <v>349</v>
      </c>
      <c r="B121" s="1">
        <v>29.485714285714302</v>
      </c>
      <c r="C121">
        <v>119</v>
      </c>
      <c r="D121">
        <f t="shared" si="6"/>
        <v>14161</v>
      </c>
      <c r="E121" s="1">
        <f t="shared" si="7"/>
        <v>41.541318911003771</v>
      </c>
      <c r="F121" s="1">
        <f t="shared" si="8"/>
        <v>96.475404164404495</v>
      </c>
      <c r="G121" s="1">
        <f t="shared" si="10"/>
        <v>4.9881436697564174</v>
      </c>
      <c r="H121" s="1">
        <f t="shared" si="9"/>
        <v>145.33760288130082</v>
      </c>
    </row>
    <row r="122" spans="1:8" x14ac:dyDescent="0.25">
      <c r="A122" t="s">
        <v>350</v>
      </c>
      <c r="B122" s="1">
        <v>29.773913043478299</v>
      </c>
      <c r="C122">
        <v>120</v>
      </c>
      <c r="D122">
        <f t="shared" si="6"/>
        <v>14400</v>
      </c>
      <c r="E122" s="1">
        <f t="shared" si="7"/>
        <v>41.693373103927577</v>
      </c>
      <c r="F122" s="1">
        <f t="shared" si="8"/>
        <v>90.896977134234803</v>
      </c>
      <c r="G122" s="1">
        <f t="shared" si="10"/>
        <v>5.6904644533223445</v>
      </c>
      <c r="H122" s="1">
        <f t="shared" si="9"/>
        <v>142.07352813264552</v>
      </c>
    </row>
    <row r="123" spans="1:8" x14ac:dyDescent="0.25">
      <c r="A123" t="s">
        <v>351</v>
      </c>
      <c r="B123" s="1">
        <v>29.8571428571429</v>
      </c>
      <c r="C123">
        <v>121</v>
      </c>
      <c r="D123">
        <f t="shared" si="6"/>
        <v>14641</v>
      </c>
      <c r="E123" s="1">
        <f t="shared" si="7"/>
        <v>41.846699716875854</v>
      </c>
      <c r="F123" s="1">
        <f t="shared" si="8"/>
        <v>89.316879810622083</v>
      </c>
      <c r="G123" s="1">
        <f t="shared" si="10"/>
        <v>6.4454854028808226</v>
      </c>
      <c r="H123" s="1">
        <f t="shared" si="9"/>
        <v>143.74947369276953</v>
      </c>
    </row>
    <row r="124" spans="1:8" x14ac:dyDescent="0.25">
      <c r="A124" t="s">
        <v>352</v>
      </c>
      <c r="B124" s="1">
        <v>28.662500000000001</v>
      </c>
      <c r="C124">
        <v>122</v>
      </c>
      <c r="D124">
        <f t="shared" si="6"/>
        <v>14884</v>
      </c>
      <c r="E124" s="1">
        <f t="shared" si="7"/>
        <v>42.001298749848594</v>
      </c>
      <c r="F124" s="1">
        <f t="shared" si="8"/>
        <v>113.32461914944984</v>
      </c>
      <c r="G124" s="1">
        <f t="shared" si="10"/>
        <v>7.2543770935474106</v>
      </c>
      <c r="H124" s="1">
        <f t="shared" si="9"/>
        <v>177.92355208896237</v>
      </c>
    </row>
    <row r="125" spans="1:8" x14ac:dyDescent="0.25">
      <c r="A125" t="s">
        <v>353</v>
      </c>
      <c r="B125" s="1">
        <v>28.334782608695701</v>
      </c>
      <c r="C125">
        <v>123</v>
      </c>
      <c r="D125">
        <f t="shared" si="6"/>
        <v>15129</v>
      </c>
      <c r="E125" s="1">
        <f t="shared" si="7"/>
        <v>42.157170202845805</v>
      </c>
      <c r="F125" s="1">
        <f t="shared" si="8"/>
        <v>120.40938567369041</v>
      </c>
      <c r="G125" s="1">
        <f t="shared" si="10"/>
        <v>8.1183198147540505</v>
      </c>
      <c r="H125" s="1">
        <f t="shared" si="9"/>
        <v>191.0583988029147</v>
      </c>
    </row>
    <row r="126" spans="1:8" x14ac:dyDescent="0.25">
      <c r="A126" t="s">
        <v>354</v>
      </c>
      <c r="B126" s="1">
        <v>29.7522727272727</v>
      </c>
      <c r="C126">
        <v>124</v>
      </c>
      <c r="D126">
        <f t="shared" si="6"/>
        <v>15376</v>
      </c>
      <c r="E126" s="1">
        <f t="shared" si="7"/>
        <v>42.314314075867479</v>
      </c>
      <c r="F126" s="1">
        <f t="shared" si="8"/>
        <v>91.310082580938115</v>
      </c>
      <c r="G126" s="1">
        <f t="shared" si="10"/>
        <v>9.038503570248924</v>
      </c>
      <c r="H126" s="1">
        <f t="shared" si="9"/>
        <v>157.80488284380493</v>
      </c>
    </row>
    <row r="127" spans="1:8" x14ac:dyDescent="0.25">
      <c r="A127" t="s">
        <v>355</v>
      </c>
      <c r="B127" s="1">
        <v>30.257142857142899</v>
      </c>
      <c r="C127">
        <v>125</v>
      </c>
      <c r="D127">
        <f t="shared" si="6"/>
        <v>15625</v>
      </c>
      <c r="E127" s="1">
        <f t="shared" si="7"/>
        <v>42.472730368913624</v>
      </c>
      <c r="F127" s="1">
        <f t="shared" si="8"/>
        <v>81.916271165889981</v>
      </c>
      <c r="G127" s="1">
        <f t="shared" si="10"/>
        <v>10.016128078096603</v>
      </c>
      <c r="H127" s="1">
        <f t="shared" si="9"/>
        <v>149.22057825772887</v>
      </c>
    </row>
    <row r="128" spans="1:8" x14ac:dyDescent="0.25">
      <c r="A128" t="s">
        <v>356</v>
      </c>
      <c r="B128" s="1">
        <v>32.142105263157902</v>
      </c>
      <c r="C128">
        <v>126</v>
      </c>
      <c r="D128">
        <f t="shared" si="6"/>
        <v>15876</v>
      </c>
      <c r="E128" s="1">
        <f t="shared" si="7"/>
        <v>42.632419081984231</v>
      </c>
      <c r="F128" s="1">
        <f t="shared" si="8"/>
        <v>51.348666708011613</v>
      </c>
      <c r="G128" s="1">
        <f t="shared" si="10"/>
        <v>11.052402770677883</v>
      </c>
      <c r="H128" s="1">
        <f t="shared" si="9"/>
        <v>110.04668401745866</v>
      </c>
    </row>
    <row r="129" spans="1:8" x14ac:dyDescent="0.25">
      <c r="A129" t="s">
        <v>357</v>
      </c>
      <c r="B129" s="1">
        <v>32.338636363636397</v>
      </c>
      <c r="C129">
        <v>127</v>
      </c>
      <c r="D129">
        <f t="shared" si="6"/>
        <v>16129</v>
      </c>
      <c r="E129" s="1">
        <f t="shared" si="7"/>
        <v>42.79338021507931</v>
      </c>
      <c r="F129" s="1">
        <f t="shared" si="8"/>
        <v>48.570686690788065</v>
      </c>
      <c r="G129" s="1">
        <f t="shared" si="10"/>
        <v>12.148546794689969</v>
      </c>
      <c r="H129" s="1">
        <f t="shared" si="9"/>
        <v>109.30166899928339</v>
      </c>
    </row>
    <row r="130" spans="1:8" x14ac:dyDescent="0.25">
      <c r="A130" t="s">
        <v>358</v>
      </c>
      <c r="B130" s="1">
        <v>32.147727272727302</v>
      </c>
      <c r="C130">
        <v>128</v>
      </c>
      <c r="D130">
        <f t="shared" si="6"/>
        <v>16384</v>
      </c>
      <c r="E130" s="1">
        <f t="shared" si="7"/>
        <v>42.955613768198852</v>
      </c>
      <c r="F130" s="1">
        <f t="shared" si="8"/>
        <v>51.268125940649952</v>
      </c>
      <c r="G130" s="1">
        <f t="shared" si="10"/>
        <v>13.305789011146274</v>
      </c>
      <c r="H130" s="1">
        <f t="shared" si="9"/>
        <v>116.8104104989963</v>
      </c>
    </row>
    <row r="131" spans="1:8" x14ac:dyDescent="0.25">
      <c r="A131" t="s">
        <v>359</v>
      </c>
      <c r="B131" s="1">
        <v>45.078125</v>
      </c>
      <c r="C131">
        <v>129</v>
      </c>
      <c r="D131">
        <f t="shared" si="6"/>
        <v>16641</v>
      </c>
      <c r="E131" s="1">
        <f t="shared" si="7"/>
        <v>43.119119741342864</v>
      </c>
      <c r="F131" s="1">
        <f t="shared" si="8"/>
        <v>33.295454277300074</v>
      </c>
      <c r="G131" s="1">
        <f t="shared" si="10"/>
        <v>14.52536799537663</v>
      </c>
      <c r="H131" s="1">
        <f t="shared" si="9"/>
        <v>3.8377016034463125</v>
      </c>
    </row>
    <row r="132" spans="1:8" x14ac:dyDescent="0.25">
      <c r="A132" t="s">
        <v>360</v>
      </c>
      <c r="B132" s="1">
        <v>38.476190476190503</v>
      </c>
      <c r="C132">
        <v>130</v>
      </c>
      <c r="D132">
        <f t="shared" ref="D132:D180" si="11">C132^2</f>
        <v>16900</v>
      </c>
      <c r="E132" s="1">
        <f t="shared" ref="E132:E180" si="12">$Q$3*C132^2+$Q$5</f>
        <v>43.28389813451134</v>
      </c>
      <c r="F132" s="1">
        <f t="shared" ref="F132:F180" si="13">(B132-$Q$11)^2</f>
        <v>0.69174682520938136</v>
      </c>
      <c r="G132" s="1">
        <f t="shared" si="10"/>
        <v>15.808532037027076</v>
      </c>
      <c r="H132" s="1">
        <f t="shared" si="9"/>
        <v>23.114052927876823</v>
      </c>
    </row>
    <row r="133" spans="1:8" x14ac:dyDescent="0.25">
      <c r="A133" t="s">
        <v>361</v>
      </c>
      <c r="B133" s="1">
        <v>31.099584036972999</v>
      </c>
      <c r="C133">
        <v>131</v>
      </c>
      <c r="D133">
        <f t="shared" si="11"/>
        <v>17161</v>
      </c>
      <c r="E133" s="1">
        <f t="shared" si="12"/>
        <v>43.449948947704286</v>
      </c>
      <c r="F133" s="1">
        <f t="shared" si="13"/>
        <v>67.376511083973128</v>
      </c>
      <c r="G133" s="1">
        <f t="shared" si="10"/>
        <v>17.156539140060065</v>
      </c>
      <c r="H133" s="1">
        <f t="shared" si="9"/>
        <v>152.53151342822264</v>
      </c>
    </row>
    <row r="134" spans="1:8" x14ac:dyDescent="0.25">
      <c r="A134" t="s">
        <v>362</v>
      </c>
      <c r="B134" s="1">
        <v>36.129303027444998</v>
      </c>
      <c r="C134">
        <v>132</v>
      </c>
      <c r="D134">
        <f t="shared" si="11"/>
        <v>17424</v>
      </c>
      <c r="E134" s="1">
        <f t="shared" si="12"/>
        <v>43.617272180921695</v>
      </c>
      <c r="F134" s="1">
        <f t="shared" si="13"/>
        <v>10.10350200071974</v>
      </c>
      <c r="G134" s="1">
        <f t="shared" si="10"/>
        <v>18.570657022754258</v>
      </c>
      <c r="H134" s="1">
        <f t="shared" si="9"/>
        <v>56.069682043418531</v>
      </c>
    </row>
    <row r="135" spans="1:8" x14ac:dyDescent="0.25">
      <c r="A135" t="s">
        <v>363</v>
      </c>
      <c r="B135" s="1">
        <v>36.872921185827899</v>
      </c>
      <c r="C135">
        <v>133</v>
      </c>
      <c r="D135">
        <f t="shared" si="11"/>
        <v>17689</v>
      </c>
      <c r="E135" s="1">
        <f t="shared" si="12"/>
        <v>43.785867834163575</v>
      </c>
      <c r="F135" s="1">
        <f t="shared" si="13"/>
        <v>5.9291396644179137</v>
      </c>
      <c r="G135" s="1">
        <f t="shared" si="10"/>
        <v>20.05216311770474</v>
      </c>
      <c r="H135" s="1">
        <f t="shared" si="9"/>
        <v>47.788831362735465</v>
      </c>
    </row>
    <row r="136" spans="1:8" x14ac:dyDescent="0.25">
      <c r="A136" t="s">
        <v>364</v>
      </c>
      <c r="B136" s="1">
        <v>35.8319143167028</v>
      </c>
      <c r="C136">
        <v>134</v>
      </c>
      <c r="D136">
        <f t="shared" si="11"/>
        <v>17956</v>
      </c>
      <c r="E136" s="1">
        <f t="shared" si="12"/>
        <v>43.955735907429919</v>
      </c>
      <c r="F136" s="1">
        <f t="shared" si="13"/>
        <v>12.082501935975239</v>
      </c>
      <c r="G136" s="1">
        <f t="shared" si="10"/>
        <v>21.602344571822783</v>
      </c>
      <c r="H136" s="1">
        <f t="shared" ref="H136:H180" si="14">(B136-E136)^2</f>
        <v>65.996477237964086</v>
      </c>
    </row>
    <row r="137" spans="1:8" x14ac:dyDescent="0.25">
      <c r="A137" t="s">
        <v>365</v>
      </c>
      <c r="B137" s="1">
        <v>45.514701028010897</v>
      </c>
      <c r="C137">
        <v>135</v>
      </c>
      <c r="D137">
        <f t="shared" si="11"/>
        <v>18225</v>
      </c>
      <c r="E137" s="1">
        <f t="shared" si="12"/>
        <v>44.126876400720732</v>
      </c>
      <c r="F137" s="1">
        <f t="shared" si="13"/>
        <v>38.524333529585533</v>
      </c>
      <c r="G137" s="1">
        <f t="shared" ref="G137:G180" si="15">(E137-$Q$11)^2</f>
        <v>23.222498246336109</v>
      </c>
      <c r="H137" s="1">
        <f t="shared" si="14"/>
        <v>1.926057196113085</v>
      </c>
    </row>
    <row r="138" spans="1:8" x14ac:dyDescent="0.25">
      <c r="A138" t="s">
        <v>366</v>
      </c>
      <c r="B138" s="1">
        <v>48.704730916227597</v>
      </c>
      <c r="C138">
        <v>136</v>
      </c>
      <c r="D138">
        <f t="shared" si="11"/>
        <v>18496</v>
      </c>
      <c r="E138" s="1">
        <f t="shared" si="12"/>
        <v>44.299289314036017</v>
      </c>
      <c r="F138" s="1">
        <f t="shared" si="13"/>
        <v>88.30036242590981</v>
      </c>
      <c r="G138" s="1">
        <f t="shared" si="15"/>
        <v>24.913930716788681</v>
      </c>
      <c r="H138" s="1">
        <f t="shared" si="14"/>
        <v>19.407915710320314</v>
      </c>
    </row>
    <row r="139" spans="1:8" x14ac:dyDescent="0.25">
      <c r="A139" t="s">
        <v>367</v>
      </c>
      <c r="B139" s="1">
        <v>40.891626405048299</v>
      </c>
      <c r="C139">
        <v>137</v>
      </c>
      <c r="D139">
        <f t="shared" si="11"/>
        <v>18769</v>
      </c>
      <c r="E139" s="1">
        <f t="shared" si="12"/>
        <v>44.472974647375757</v>
      </c>
      <c r="F139" s="1">
        <f t="shared" si="13"/>
        <v>2.508177723497095</v>
      </c>
      <c r="G139" s="1">
        <f t="shared" si="15"/>
        <v>26.677958273040627</v>
      </c>
      <c r="H139" s="1">
        <f t="shared" si="14"/>
        <v>12.826055232821972</v>
      </c>
    </row>
    <row r="140" spans="1:8" x14ac:dyDescent="0.25">
      <c r="A140" t="s">
        <v>368</v>
      </c>
      <c r="B140" s="1">
        <v>40.331517452179</v>
      </c>
      <c r="C140">
        <v>138</v>
      </c>
      <c r="D140">
        <f t="shared" si="11"/>
        <v>19044</v>
      </c>
      <c r="E140" s="1">
        <f t="shared" si="12"/>
        <v>44.647932400739975</v>
      </c>
      <c r="F140" s="1">
        <f t="shared" si="13"/>
        <v>1.0477851892785359</v>
      </c>
      <c r="G140" s="1">
        <f t="shared" si="15"/>
        <v>28.515906919268751</v>
      </c>
      <c r="H140" s="1">
        <f t="shared" si="14"/>
        <v>18.63143800816065</v>
      </c>
    </row>
    <row r="141" spans="1:8" x14ac:dyDescent="0.25">
      <c r="A141" t="s">
        <v>369</v>
      </c>
      <c r="B141" s="1">
        <v>38.939159177770797</v>
      </c>
      <c r="C141">
        <v>139</v>
      </c>
      <c r="D141">
        <f t="shared" si="11"/>
        <v>19321</v>
      </c>
      <c r="E141" s="1">
        <f t="shared" si="12"/>
        <v>44.824162574128657</v>
      </c>
      <c r="F141" s="1">
        <f t="shared" si="13"/>
        <v>0.13597249542976542</v>
      </c>
      <c r="G141" s="1">
        <f t="shared" si="15"/>
        <v>30.429112373965811</v>
      </c>
      <c r="H141" s="1">
        <f t="shared" si="14"/>
        <v>34.63326497514354</v>
      </c>
    </row>
    <row r="142" spans="1:8" x14ac:dyDescent="0.25">
      <c r="A142" t="s">
        <v>370</v>
      </c>
      <c r="B142" s="1">
        <v>39.802308308969103</v>
      </c>
      <c r="C142">
        <v>140</v>
      </c>
      <c r="D142">
        <f t="shared" si="11"/>
        <v>19600</v>
      </c>
      <c r="E142" s="1">
        <f t="shared" si="12"/>
        <v>45.001665167541802</v>
      </c>
      <c r="F142" s="1">
        <f t="shared" si="13"/>
        <v>0.24443595389842748</v>
      </c>
      <c r="G142" s="1">
        <f t="shared" si="15"/>
        <v>32.418920069941009</v>
      </c>
      <c r="H142" s="1">
        <f t="shared" si="14"/>
        <v>27.033311742786964</v>
      </c>
    </row>
    <row r="143" spans="1:8" x14ac:dyDescent="0.25">
      <c r="A143" t="s">
        <v>371</v>
      </c>
      <c r="B143" s="1">
        <v>40.950391934529598</v>
      </c>
      <c r="C143">
        <v>141</v>
      </c>
      <c r="D143">
        <f t="shared" si="11"/>
        <v>19881</v>
      </c>
      <c r="E143" s="1">
        <f t="shared" si="12"/>
        <v>45.180440180979417</v>
      </c>
      <c r="F143" s="1">
        <f t="shared" si="13"/>
        <v>2.6977677219215748</v>
      </c>
      <c r="G143" s="1">
        <f t="shared" si="15"/>
        <v>34.486685154319943</v>
      </c>
      <c r="H143" s="1">
        <f t="shared" si="14"/>
        <v>17.893308167293188</v>
      </c>
    </row>
    <row r="144" spans="1:8" x14ac:dyDescent="0.25">
      <c r="A144" t="s">
        <v>372</v>
      </c>
      <c r="B144" s="1">
        <v>41.303597252349903</v>
      </c>
      <c r="C144">
        <v>142</v>
      </c>
      <c r="D144">
        <f t="shared" si="11"/>
        <v>20164</v>
      </c>
      <c r="E144" s="1">
        <f t="shared" si="12"/>
        <v>45.360487614441496</v>
      </c>
      <c r="F144" s="1">
        <f t="shared" si="13"/>
        <v>3.9827929023405737</v>
      </c>
      <c r="G144" s="1">
        <f t="shared" si="15"/>
        <v>36.633772488544373</v>
      </c>
      <c r="H144" s="1">
        <f t="shared" si="14"/>
        <v>16.458359410031658</v>
      </c>
    </row>
    <row r="145" spans="1:8" x14ac:dyDescent="0.25">
      <c r="A145" t="s">
        <v>373</v>
      </c>
      <c r="B145" s="1">
        <v>40.954064780122202</v>
      </c>
      <c r="C145">
        <v>143</v>
      </c>
      <c r="D145">
        <f t="shared" si="11"/>
        <v>20449</v>
      </c>
      <c r="E145" s="1">
        <f t="shared" si="12"/>
        <v>45.541807467928045</v>
      </c>
      <c r="F145" s="1">
        <f t="shared" si="13"/>
        <v>2.7098464233338775</v>
      </c>
      <c r="G145" s="1">
        <f t="shared" si="15"/>
        <v>38.861556648372527</v>
      </c>
      <c r="H145" s="1">
        <f t="shared" si="14"/>
        <v>21.047382969515979</v>
      </c>
    </row>
    <row r="146" spans="1:8" x14ac:dyDescent="0.25">
      <c r="A146" t="s">
        <v>374</v>
      </c>
      <c r="B146" s="1">
        <v>39.178243936107201</v>
      </c>
      <c r="C146">
        <v>144</v>
      </c>
      <c r="D146">
        <f t="shared" si="11"/>
        <v>20736</v>
      </c>
      <c r="E146" s="1">
        <f t="shared" si="12"/>
        <v>45.724399741439065</v>
      </c>
      <c r="F146" s="1">
        <f t="shared" si="13"/>
        <v>1.6811644792970343E-2</v>
      </c>
      <c r="G146" s="1">
        <f t="shared" si="15"/>
        <v>41.171421923878867</v>
      </c>
      <c r="H146" s="1">
        <f t="shared" si="14"/>
        <v>42.852155827680065</v>
      </c>
    </row>
    <row r="147" spans="1:8" x14ac:dyDescent="0.25">
      <c r="A147" t="s">
        <v>375</v>
      </c>
      <c r="B147" s="1">
        <v>40.063399723920199</v>
      </c>
      <c r="C147">
        <v>145</v>
      </c>
      <c r="D147">
        <f t="shared" si="11"/>
        <v>21025</v>
      </c>
      <c r="E147" s="1">
        <f t="shared" si="12"/>
        <v>45.908264434974548</v>
      </c>
      <c r="F147" s="1">
        <f t="shared" si="13"/>
        <v>0.57077429797821466</v>
      </c>
      <c r="G147" s="1">
        <f t="shared" si="15"/>
        <v>43.564762319454069</v>
      </c>
      <c r="H147" s="1">
        <f t="shared" si="14"/>
        <v>34.162443490528439</v>
      </c>
    </row>
    <row r="148" spans="1:8" x14ac:dyDescent="0.25">
      <c r="A148" t="s">
        <v>376</v>
      </c>
      <c r="B148" s="1">
        <v>41.314370932754798</v>
      </c>
      <c r="C148">
        <v>146</v>
      </c>
      <c r="D148">
        <f t="shared" si="11"/>
        <v>21316</v>
      </c>
      <c r="E148" s="1">
        <f t="shared" si="12"/>
        <v>46.093401548534494</v>
      </c>
      <c r="F148" s="1">
        <f t="shared" si="13"/>
        <v>4.0259109043642987</v>
      </c>
      <c r="G148" s="1">
        <f t="shared" si="15"/>
        <v>46.042981553805213</v>
      </c>
      <c r="H148" s="1">
        <f t="shared" si="14"/>
        <v>22.839133626559661</v>
      </c>
    </row>
    <row r="149" spans="1:8" x14ac:dyDescent="0.25">
      <c r="A149" t="s">
        <v>377</v>
      </c>
      <c r="B149" s="1">
        <v>40.741523004909098</v>
      </c>
      <c r="C149">
        <v>147</v>
      </c>
      <c r="D149">
        <f t="shared" si="11"/>
        <v>21609</v>
      </c>
      <c r="E149" s="1">
        <f t="shared" si="12"/>
        <v>46.279811082118911</v>
      </c>
      <c r="F149" s="1">
        <f t="shared" si="13"/>
        <v>2.0552644173294143</v>
      </c>
      <c r="G149" s="1">
        <f t="shared" si="15"/>
        <v>48.607493059955793</v>
      </c>
      <c r="H149" s="1">
        <f t="shared" si="14"/>
        <v>30.672634826164369</v>
      </c>
    </row>
    <row r="150" spans="1:8" x14ac:dyDescent="0.25">
      <c r="A150" t="s">
        <v>378</v>
      </c>
      <c r="B150" s="1">
        <v>41.762017353579097</v>
      </c>
      <c r="C150">
        <v>148</v>
      </c>
      <c r="D150">
        <f t="shared" si="11"/>
        <v>21904</v>
      </c>
      <c r="E150" s="1">
        <f t="shared" si="12"/>
        <v>46.467493035727799</v>
      </c>
      <c r="F150" s="1">
        <f t="shared" si="13"/>
        <v>6.022674006002803</v>
      </c>
      <c r="G150" s="1">
        <f t="shared" si="15"/>
        <v>51.259719985245518</v>
      </c>
      <c r="H150" s="1">
        <f t="shared" si="14"/>
        <v>22.141501395292792</v>
      </c>
    </row>
    <row r="151" spans="1:8" x14ac:dyDescent="0.25">
      <c r="A151" t="s">
        <v>379</v>
      </c>
      <c r="B151" s="1">
        <v>43.462666226539497</v>
      </c>
      <c r="C151">
        <v>149</v>
      </c>
      <c r="D151">
        <f t="shared" si="11"/>
        <v>22201</v>
      </c>
      <c r="E151" s="1">
        <f t="shared" si="12"/>
        <v>46.656447409361149</v>
      </c>
      <c r="F151" s="1">
        <f t="shared" si="13"/>
        <v>17.262051958906873</v>
      </c>
      <c r="G151" s="1">
        <f t="shared" si="15"/>
        <v>54.0010951913303</v>
      </c>
      <c r="H151" s="1">
        <f t="shared" si="14"/>
        <v>10.200238243745673</v>
      </c>
    </row>
    <row r="152" spans="1:8" x14ac:dyDescent="0.25">
      <c r="A152" t="s">
        <v>380</v>
      </c>
      <c r="B152" s="1">
        <v>45.700483139420101</v>
      </c>
      <c r="C152">
        <v>150</v>
      </c>
      <c r="D152">
        <f t="shared" si="11"/>
        <v>22500</v>
      </c>
      <c r="E152" s="1">
        <f t="shared" si="12"/>
        <v>46.846674203018964</v>
      </c>
      <c r="F152" s="1">
        <f t="shared" si="13"/>
        <v>40.865072361605229</v>
      </c>
      <c r="G152" s="1">
        <f t="shared" si="15"/>
        <v>56.833061254182475</v>
      </c>
      <c r="H152" s="1">
        <f t="shared" si="14"/>
        <v>1.313753954273893</v>
      </c>
    </row>
    <row r="153" spans="1:8" x14ac:dyDescent="0.25">
      <c r="A153" t="s">
        <v>381</v>
      </c>
      <c r="B153" s="1">
        <v>45.247533829149802</v>
      </c>
      <c r="C153">
        <v>151</v>
      </c>
      <c r="D153">
        <f t="shared" si="11"/>
        <v>22801</v>
      </c>
      <c r="E153" s="1">
        <f t="shared" si="12"/>
        <v>47.038173416701248</v>
      </c>
      <c r="F153" s="1">
        <f t="shared" si="13"/>
        <v>35.279206509947059</v>
      </c>
      <c r="G153" s="1">
        <f t="shared" si="15"/>
        <v>59.757070464090781</v>
      </c>
      <c r="H153" s="1">
        <f t="shared" si="14"/>
        <v>3.2063901325064137</v>
      </c>
    </row>
    <row r="154" spans="1:8" x14ac:dyDescent="0.25">
      <c r="A154" t="s">
        <v>382</v>
      </c>
      <c r="B154" s="1">
        <v>46.377180986513103</v>
      </c>
      <c r="C154">
        <v>152</v>
      </c>
      <c r="D154">
        <f t="shared" si="11"/>
        <v>23104</v>
      </c>
      <c r="E154" s="1">
        <f t="shared" si="12"/>
        <v>47.230945050408003</v>
      </c>
      <c r="F154" s="1">
        <f t="shared" si="13"/>
        <v>49.974681875915756</v>
      </c>
      <c r="G154" s="1">
        <f t="shared" si="15"/>
        <v>62.774584825660178</v>
      </c>
      <c r="H154" s="1">
        <f t="shared" si="14"/>
        <v>0.72891307679833495</v>
      </c>
    </row>
    <row r="155" spans="1:8" x14ac:dyDescent="0.25">
      <c r="A155" t="s">
        <v>383</v>
      </c>
      <c r="B155" s="1">
        <v>53.202742485280297</v>
      </c>
      <c r="C155">
        <v>153</v>
      </c>
      <c r="D155">
        <f t="shared" si="11"/>
        <v>23409</v>
      </c>
      <c r="E155" s="1">
        <f t="shared" si="12"/>
        <v>47.424989104139222</v>
      </c>
      <c r="F155" s="1">
        <f t="shared" si="13"/>
        <v>193.06654589553435</v>
      </c>
      <c r="G155" s="1">
        <f t="shared" si="15"/>
        <v>65.887076057811825</v>
      </c>
      <c r="H155" s="1">
        <f t="shared" si="14"/>
        <v>33.38243413328712</v>
      </c>
    </row>
    <row r="156" spans="1:8" x14ac:dyDescent="0.25">
      <c r="A156" t="s">
        <v>384</v>
      </c>
      <c r="B156" s="1">
        <v>57.646413429303799</v>
      </c>
      <c r="C156">
        <v>154</v>
      </c>
      <c r="D156">
        <f t="shared" si="11"/>
        <v>23716</v>
      </c>
      <c r="E156" s="1">
        <f t="shared" si="12"/>
        <v>47.620305577894911</v>
      </c>
      <c r="F156" s="1">
        <f t="shared" si="13"/>
        <v>336.3009404466905</v>
      </c>
      <c r="G156" s="1">
        <f t="shared" si="15"/>
        <v>69.096025593783409</v>
      </c>
      <c r="H156" s="1">
        <f t="shared" si="14"/>
        <v>100.52283864808295</v>
      </c>
    </row>
    <row r="157" spans="1:8" x14ac:dyDescent="0.25">
      <c r="A157" t="s">
        <v>385</v>
      </c>
      <c r="B157" s="1">
        <v>62.285951981857501</v>
      </c>
      <c r="C157">
        <v>155</v>
      </c>
      <c r="D157">
        <f t="shared" si="11"/>
        <v>24025</v>
      </c>
      <c r="E157" s="1">
        <f t="shared" si="12"/>
        <v>47.816894471675056</v>
      </c>
      <c r="F157" s="1">
        <f t="shared" si="13"/>
        <v>527.99070454108198</v>
      </c>
      <c r="G157" s="1">
        <f t="shared" si="15"/>
        <v>72.402924581128588</v>
      </c>
      <c r="H157" s="1">
        <f t="shared" si="14"/>
        <v>209.353625232967</v>
      </c>
    </row>
    <row r="158" spans="1:8" x14ac:dyDescent="0.25">
      <c r="A158" t="s">
        <v>386</v>
      </c>
      <c r="B158" s="1">
        <v>70.059704575973399</v>
      </c>
      <c r="C158">
        <v>156</v>
      </c>
      <c r="D158">
        <f t="shared" si="11"/>
        <v>24336</v>
      </c>
      <c r="E158" s="1">
        <f t="shared" si="12"/>
        <v>48.014755785479679</v>
      </c>
      <c r="F158" s="1">
        <f t="shared" si="13"/>
        <v>945.67325938758086</v>
      </c>
      <c r="G158" s="1">
        <f t="shared" si="15"/>
        <v>75.809273881717914</v>
      </c>
      <c r="H158" s="1">
        <f t="shared" si="14"/>
        <v>485.97976717549051</v>
      </c>
    </row>
    <row r="159" spans="1:8" x14ac:dyDescent="0.25">
      <c r="A159" t="s">
        <v>387</v>
      </c>
      <c r="B159" s="1">
        <v>80.363458455154102</v>
      </c>
      <c r="C159">
        <v>157</v>
      </c>
      <c r="D159">
        <f t="shared" si="11"/>
        <v>24649</v>
      </c>
      <c r="E159" s="1">
        <f t="shared" si="12"/>
        <v>48.213889519308765</v>
      </c>
      <c r="F159" s="1">
        <f t="shared" si="13"/>
        <v>1685.5585792868008</v>
      </c>
      <c r="G159" s="1">
        <f t="shared" si="15"/>
        <v>79.316584071737665</v>
      </c>
      <c r="H159" s="1">
        <f t="shared" si="14"/>
        <v>1033.5947827606715</v>
      </c>
    </row>
    <row r="160" spans="1:8" x14ac:dyDescent="0.25">
      <c r="A160" t="s">
        <v>388</v>
      </c>
      <c r="B160" s="1">
        <v>81.318200599111506</v>
      </c>
      <c r="C160">
        <v>158</v>
      </c>
      <c r="D160">
        <f t="shared" si="11"/>
        <v>24964</v>
      </c>
      <c r="E160" s="1">
        <f t="shared" si="12"/>
        <v>48.414295673162322</v>
      </c>
      <c r="F160" s="1">
        <f t="shared" si="13"/>
        <v>1764.865048655382</v>
      </c>
      <c r="G160" s="1">
        <f t="shared" si="15"/>
        <v>82.926375441690809</v>
      </c>
      <c r="H160" s="1">
        <f t="shared" si="14"/>
        <v>1082.6669593759029</v>
      </c>
    </row>
    <row r="161" spans="1:8" x14ac:dyDescent="0.25">
      <c r="A161" t="s">
        <v>389</v>
      </c>
      <c r="B161" s="1">
        <v>71.814275384774206</v>
      </c>
      <c r="C161">
        <v>159</v>
      </c>
      <c r="D161">
        <f t="shared" si="11"/>
        <v>25281</v>
      </c>
      <c r="E161" s="1">
        <f t="shared" si="12"/>
        <v>48.615974247040342</v>
      </c>
      <c r="F161" s="1">
        <f t="shared" si="13"/>
        <v>1056.6642025103874</v>
      </c>
      <c r="G161" s="1">
        <f t="shared" si="15"/>
        <v>86.640177996396332</v>
      </c>
      <c r="H161" s="1">
        <f t="shared" si="14"/>
        <v>538.16117567698427</v>
      </c>
    </row>
    <row r="162" spans="1:8" x14ac:dyDescent="0.25">
      <c r="A162" t="s">
        <v>390</v>
      </c>
      <c r="B162" s="1">
        <v>71.638853283375894</v>
      </c>
      <c r="C162">
        <v>160</v>
      </c>
      <c r="D162">
        <f t="shared" si="11"/>
        <v>25600</v>
      </c>
      <c r="E162" s="1">
        <f t="shared" si="12"/>
        <v>48.818925240942832</v>
      </c>
      <c r="F162" s="1">
        <f t="shared" si="13"/>
        <v>1045.2903033515302</v>
      </c>
      <c r="G162" s="1">
        <f t="shared" si="15"/>
        <v>90.459531454989815</v>
      </c>
      <c r="H162" s="1">
        <f t="shared" si="14"/>
        <v>520.74911586182282</v>
      </c>
    </row>
    <row r="163" spans="1:8" x14ac:dyDescent="0.25">
      <c r="A163" t="s">
        <v>391</v>
      </c>
      <c r="B163" s="1">
        <v>73.950190983683797</v>
      </c>
      <c r="C163">
        <v>161</v>
      </c>
      <c r="D163">
        <f t="shared" si="11"/>
        <v>25921</v>
      </c>
      <c r="E163" s="1">
        <f t="shared" si="12"/>
        <v>49.023148654869786</v>
      </c>
      <c r="F163" s="1">
        <f t="shared" si="13"/>
        <v>1200.0880708047869</v>
      </c>
      <c r="G163" s="1">
        <f t="shared" si="15"/>
        <v>94.3859852509229</v>
      </c>
      <c r="H163" s="1">
        <f t="shared" si="14"/>
        <v>621.3574392624854</v>
      </c>
    </row>
    <row r="164" spans="1:8" x14ac:dyDescent="0.25">
      <c r="A164" t="s">
        <v>392</v>
      </c>
      <c r="B164" s="1">
        <v>69.187228850325297</v>
      </c>
      <c r="C164">
        <v>162</v>
      </c>
      <c r="D164">
        <f t="shared" si="11"/>
        <v>26244</v>
      </c>
      <c r="E164" s="1">
        <f t="shared" si="12"/>
        <v>49.228644488821203</v>
      </c>
      <c r="F164" s="1">
        <f t="shared" si="13"/>
        <v>892.77407364646263</v>
      </c>
      <c r="G164" s="1">
        <f t="shared" si="15"/>
        <v>98.421098531963651</v>
      </c>
      <c r="H164" s="1">
        <f t="shared" si="14"/>
        <v>398.34508971527578</v>
      </c>
    </row>
    <row r="165" spans="1:8" x14ac:dyDescent="0.25">
      <c r="A165" t="s">
        <v>393</v>
      </c>
      <c r="B165" s="1">
        <v>68.251850891257007</v>
      </c>
      <c r="C165">
        <v>163</v>
      </c>
      <c r="D165">
        <f t="shared" si="11"/>
        <v>26569</v>
      </c>
      <c r="E165" s="1">
        <f t="shared" si="12"/>
        <v>49.435412742797098</v>
      </c>
      <c r="F165" s="1">
        <f t="shared" si="13"/>
        <v>837.75208114876568</v>
      </c>
      <c r="G165" s="1">
        <f t="shared" si="15"/>
        <v>102.56644016019673</v>
      </c>
      <c r="H165" s="1">
        <f t="shared" si="14"/>
        <v>354.05834459481736</v>
      </c>
    </row>
    <row r="166" spans="1:8" x14ac:dyDescent="0.25">
      <c r="A166" t="s">
        <v>394</v>
      </c>
      <c r="B166" s="1">
        <v>65.288503253795994</v>
      </c>
      <c r="C166">
        <v>164</v>
      </c>
      <c r="D166">
        <f t="shared" si="11"/>
        <v>26896</v>
      </c>
      <c r="E166" s="1">
        <f t="shared" si="12"/>
        <v>49.643453416797449</v>
      </c>
      <c r="F166" s="1">
        <f t="shared" si="13"/>
        <v>674.99155509425236</v>
      </c>
      <c r="G166" s="1">
        <f t="shared" si="15"/>
        <v>106.82358871202243</v>
      </c>
      <c r="H166" s="1">
        <f t="shared" si="14"/>
        <v>244.76758440216821</v>
      </c>
    </row>
    <row r="167" spans="1:8" x14ac:dyDescent="0.25">
      <c r="A167" t="s">
        <v>395</v>
      </c>
      <c r="B167" s="1">
        <v>64.630539200495704</v>
      </c>
      <c r="C167">
        <v>165</v>
      </c>
      <c r="D167">
        <f t="shared" si="11"/>
        <v>27225</v>
      </c>
      <c r="E167" s="1">
        <f t="shared" si="12"/>
        <v>49.852766510822278</v>
      </c>
      <c r="F167" s="1">
        <f t="shared" si="13"/>
        <v>641.23587056190013</v>
      </c>
      <c r="G167" s="1">
        <f t="shared" si="15"/>
        <v>111.19413247815817</v>
      </c>
      <c r="H167" s="1">
        <f t="shared" si="14"/>
        <v>218.38256566765779</v>
      </c>
    </row>
    <row r="168" spans="1:8" x14ac:dyDescent="0.25">
      <c r="A168" t="s">
        <v>396</v>
      </c>
      <c r="B168" s="1">
        <v>66.511081769310394</v>
      </c>
      <c r="C168">
        <v>166</v>
      </c>
      <c r="D168">
        <f t="shared" si="11"/>
        <v>27556</v>
      </c>
      <c r="E168" s="1">
        <f t="shared" si="12"/>
        <v>50.063352024871563</v>
      </c>
      <c r="F168" s="1">
        <f t="shared" si="13"/>
        <v>740.01289908048648</v>
      </c>
      <c r="G168" s="1">
        <f t="shared" si="15"/>
        <v>115.67966946363684</v>
      </c>
      <c r="H168" s="1">
        <f t="shared" si="14"/>
        <v>270.52781374609788</v>
      </c>
    </row>
    <row r="169" spans="1:8" x14ac:dyDescent="0.25">
      <c r="A169" t="s">
        <v>397</v>
      </c>
      <c r="B169" s="1">
        <v>63.158777502324</v>
      </c>
      <c r="C169">
        <v>167</v>
      </c>
      <c r="D169">
        <f t="shared" si="11"/>
        <v>27889</v>
      </c>
      <c r="E169" s="1">
        <f t="shared" si="12"/>
        <v>50.275209958945325</v>
      </c>
      <c r="F169" s="1">
        <f t="shared" si="13"/>
        <v>568.86418289658059</v>
      </c>
      <c r="G169" s="1">
        <f t="shared" si="15"/>
        <v>120.28180738780853</v>
      </c>
      <c r="H169" s="1">
        <f t="shared" si="14"/>
        <v>165.98631264480042</v>
      </c>
    </row>
    <row r="170" spans="1:8" x14ac:dyDescent="0.25">
      <c r="A170" t="s">
        <v>398</v>
      </c>
      <c r="B170" s="1">
        <v>60.219976336028303</v>
      </c>
      <c r="C170">
        <v>168</v>
      </c>
      <c r="D170">
        <f t="shared" si="11"/>
        <v>28224</v>
      </c>
      <c r="E170" s="1">
        <f t="shared" si="12"/>
        <v>50.488340313043544</v>
      </c>
      <c r="F170" s="1">
        <f t="shared" si="13"/>
        <v>437.31478347958898</v>
      </c>
      <c r="G170" s="1">
        <f t="shared" si="15"/>
        <v>125.00216368433873</v>
      </c>
      <c r="H170" s="1">
        <f t="shared" si="14"/>
        <v>94.704739683854612</v>
      </c>
    </row>
    <row r="171" spans="1:8" x14ac:dyDescent="0.25">
      <c r="A171" t="s">
        <v>399</v>
      </c>
      <c r="B171" s="1">
        <v>58.9595515420163</v>
      </c>
      <c r="C171">
        <v>169</v>
      </c>
      <c r="D171">
        <f t="shared" si="11"/>
        <v>28561</v>
      </c>
      <c r="E171" s="1">
        <f t="shared" si="12"/>
        <v>50.70274308716624</v>
      </c>
      <c r="F171" s="1">
        <f t="shared" si="13"/>
        <v>386.18726435856405</v>
      </c>
      <c r="G171" s="1">
        <f t="shared" si="15"/>
        <v>129.84236550121014</v>
      </c>
      <c r="H171" s="1">
        <f t="shared" si="14"/>
        <v>68.174885860083421</v>
      </c>
    </row>
    <row r="172" spans="1:8" x14ac:dyDescent="0.25">
      <c r="A172" t="s">
        <v>400</v>
      </c>
      <c r="B172" s="1">
        <v>54.315509761388199</v>
      </c>
      <c r="C172">
        <v>170</v>
      </c>
      <c r="D172">
        <f t="shared" si="11"/>
        <v>28900</v>
      </c>
      <c r="E172" s="1">
        <f t="shared" si="12"/>
        <v>50.918418281313393</v>
      </c>
      <c r="F172" s="1">
        <f t="shared" si="13"/>
        <v>225.22824080263609</v>
      </c>
      <c r="G172" s="1">
        <f t="shared" si="15"/>
        <v>134.80404970072087</v>
      </c>
      <c r="H172" s="1">
        <f t="shared" si="14"/>
        <v>11.540230523996838</v>
      </c>
    </row>
    <row r="173" spans="1:8" x14ac:dyDescent="0.25">
      <c r="A173" t="s">
        <v>401</v>
      </c>
      <c r="B173" s="1">
        <v>51.834869848156103</v>
      </c>
      <c r="C173">
        <v>171</v>
      </c>
      <c r="D173">
        <f t="shared" si="11"/>
        <v>29241</v>
      </c>
      <c r="E173" s="1">
        <f t="shared" si="12"/>
        <v>51.135365895485023</v>
      </c>
      <c r="F173" s="1">
        <f t="shared" si="13"/>
        <v>156.92488180258991</v>
      </c>
      <c r="G173" s="1">
        <f t="shared" si="15"/>
        <v>139.8888628594863</v>
      </c>
      <c r="H173" s="1">
        <f t="shared" si="14"/>
        <v>0.48930577980246426</v>
      </c>
    </row>
    <row r="174" spans="1:8" x14ac:dyDescent="0.25">
      <c r="A174" t="s">
        <v>402</v>
      </c>
      <c r="B174" s="1">
        <v>52.685133602839599</v>
      </c>
      <c r="C174">
        <v>172</v>
      </c>
      <c r="D174">
        <f t="shared" si="11"/>
        <v>29584</v>
      </c>
      <c r="E174" s="1">
        <f t="shared" si="12"/>
        <v>51.35358592968111</v>
      </c>
      <c r="F174" s="1">
        <f t="shared" si="13"/>
        <v>178.95028086178772</v>
      </c>
      <c r="G174" s="1">
        <f t="shared" si="15"/>
        <v>145.09846126843712</v>
      </c>
      <c r="H174" s="1">
        <f t="shared" si="14"/>
        <v>1.7730192058937875</v>
      </c>
    </row>
    <row r="175" spans="1:8" x14ac:dyDescent="0.25">
      <c r="A175" t="s">
        <v>403</v>
      </c>
      <c r="B175" s="1">
        <v>57.305573358311896</v>
      </c>
      <c r="C175">
        <v>173</v>
      </c>
      <c r="D175">
        <f t="shared" si="11"/>
        <v>29929</v>
      </c>
      <c r="E175" s="1">
        <f t="shared" si="12"/>
        <v>51.573078383901674</v>
      </c>
      <c r="F175" s="1">
        <f t="shared" si="13"/>
        <v>323.91611445945847</v>
      </c>
      <c r="G175" s="1">
        <f t="shared" si="15"/>
        <v>150.43451093282133</v>
      </c>
      <c r="H175" s="1">
        <f t="shared" si="14"/>
        <v>32.861498631638462</v>
      </c>
    </row>
    <row r="176" spans="1:8" x14ac:dyDescent="0.25">
      <c r="A176" t="s">
        <v>404</v>
      </c>
      <c r="B176" s="1">
        <v>59.576528767689197</v>
      </c>
      <c r="C176">
        <v>174</v>
      </c>
      <c r="D176">
        <f t="shared" si="11"/>
        <v>30276</v>
      </c>
      <c r="E176" s="1">
        <f t="shared" si="12"/>
        <v>51.793843258146694</v>
      </c>
      <c r="F176" s="1">
        <f t="shared" si="13"/>
        <v>410.81716363208375</v>
      </c>
      <c r="G176" s="1">
        <f t="shared" si="15"/>
        <v>155.89868757220222</v>
      </c>
      <c r="H176" s="1">
        <f t="shared" si="14"/>
        <v>60.570193740442853</v>
      </c>
    </row>
    <row r="177" spans="1:8" x14ac:dyDescent="0.25">
      <c r="A177" t="s">
        <v>405</v>
      </c>
      <c r="B177" s="1">
        <v>58.9472554937281</v>
      </c>
      <c r="C177">
        <v>175</v>
      </c>
      <c r="D177">
        <f t="shared" si="11"/>
        <v>30625</v>
      </c>
      <c r="E177" s="1">
        <f t="shared" si="12"/>
        <v>52.015880552416192</v>
      </c>
      <c r="F177" s="1">
        <f t="shared" si="13"/>
        <v>385.70414032884281</v>
      </c>
      <c r="G177" s="1">
        <f t="shared" si="15"/>
        <v>161.49267662046049</v>
      </c>
      <c r="H177" s="1">
        <f t="shared" si="14"/>
        <v>48.043958577046659</v>
      </c>
    </row>
    <row r="178" spans="1:8" x14ac:dyDescent="0.25">
      <c r="A178" t="s">
        <v>406</v>
      </c>
      <c r="B178" s="1">
        <v>58.966661501910799</v>
      </c>
      <c r="C178">
        <v>176</v>
      </c>
      <c r="D178">
        <f t="shared" si="11"/>
        <v>30976</v>
      </c>
      <c r="E178" s="1">
        <f t="shared" si="12"/>
        <v>52.239190266710153</v>
      </c>
      <c r="F178" s="1">
        <f t="shared" si="13"/>
        <v>386.46675976665421</v>
      </c>
      <c r="G178" s="1">
        <f t="shared" si="15"/>
        <v>167.21817322579219</v>
      </c>
      <c r="H178" s="1">
        <f t="shared" si="14"/>
        <v>45.258869220452105</v>
      </c>
    </row>
    <row r="179" spans="1:8" x14ac:dyDescent="0.25">
      <c r="A179" t="s">
        <v>407</v>
      </c>
      <c r="B179" s="1">
        <v>62.875443699467397</v>
      </c>
      <c r="C179">
        <v>177</v>
      </c>
      <c r="D179">
        <f t="shared" si="11"/>
        <v>31329</v>
      </c>
      <c r="E179" s="1">
        <f t="shared" si="12"/>
        <v>52.463772401028578</v>
      </c>
      <c r="F179" s="1">
        <f t="shared" si="13"/>
        <v>555.42894336775714</v>
      </c>
      <c r="G179" s="1">
        <f t="shared" si="15"/>
        <v>173.0768822507101</v>
      </c>
      <c r="H179" s="1">
        <f t="shared" si="14"/>
        <v>108.40289922673468</v>
      </c>
    </row>
    <row r="180" spans="1:8" x14ac:dyDescent="0.25">
      <c r="A180" t="s">
        <v>408</v>
      </c>
      <c r="B180" s="1">
        <v>63.958773460341298</v>
      </c>
      <c r="C180">
        <v>178</v>
      </c>
      <c r="D180">
        <f t="shared" si="11"/>
        <v>31684</v>
      </c>
      <c r="E180" s="1">
        <f t="shared" si="12"/>
        <v>52.689626955371466</v>
      </c>
      <c r="F180" s="1">
        <f t="shared" si="13"/>
        <v>607.6653817626111</v>
      </c>
      <c r="G180" s="1">
        <f t="shared" si="15"/>
        <v>179.07051827204324</v>
      </c>
      <c r="H180" s="1">
        <f t="shared" si="14"/>
        <v>126.99366295047379</v>
      </c>
    </row>
    <row r="182" spans="1:8" x14ac:dyDescent="0.25">
      <c r="F182" s="8" t="s">
        <v>451</v>
      </c>
      <c r="G182" s="8" t="s">
        <v>452</v>
      </c>
      <c r="H182" s="8" t="s">
        <v>450</v>
      </c>
    </row>
    <row r="183" spans="1:8" x14ac:dyDescent="0.25">
      <c r="F183" s="1">
        <f>SUM(F3:F180)</f>
        <v>36060.83179626194</v>
      </c>
      <c r="G183" s="1">
        <f>SUM(G3:G180)</f>
        <v>6496.7313836858984</v>
      </c>
      <c r="H183" s="30">
        <f>SUM(H3:H180)</f>
        <v>29564.100412576026</v>
      </c>
    </row>
    <row r="184" spans="1:8" x14ac:dyDescent="0.25">
      <c r="F184" s="31" t="s">
        <v>449</v>
      </c>
      <c r="G184" s="31">
        <f>G183/F183</f>
        <v>0.18016033075419377</v>
      </c>
      <c r="H184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9D54-BE0C-4157-91C6-7C815584A051}">
  <dimension ref="A1:S194"/>
  <sheetViews>
    <sheetView topLeftCell="F168" zoomScale="85" zoomScaleNormal="85" workbookViewId="0">
      <selection activeCell="O191" sqref="O191"/>
    </sheetView>
  </sheetViews>
  <sheetFormatPr baseColWidth="10" defaultColWidth="9" defaultRowHeight="15" x14ac:dyDescent="0.25"/>
  <cols>
    <col min="1" max="1" width="13.140625" bestFit="1" customWidth="1"/>
    <col min="2" max="2" width="11.85546875" bestFit="1" customWidth="1"/>
    <col min="3" max="3" width="3.85546875" bestFit="1" customWidth="1"/>
    <col min="4" max="4" width="18.28515625" bestFit="1" customWidth="1"/>
    <col min="5" max="5" width="38.42578125" bestFit="1" customWidth="1"/>
    <col min="6" max="6" width="43.85546875" bestFit="1" customWidth="1"/>
    <col min="7" max="7" width="37.42578125" bestFit="1" customWidth="1"/>
    <col min="8" max="8" width="17.5703125" bestFit="1" customWidth="1"/>
    <col min="9" max="9" width="18" bestFit="1" customWidth="1"/>
    <col min="10" max="14" width="1.42578125" bestFit="1" customWidth="1"/>
    <col min="15" max="15" width="46.140625" bestFit="1" customWidth="1"/>
    <col min="16" max="16" width="17.5703125" bestFit="1" customWidth="1"/>
  </cols>
  <sheetData>
    <row r="1" spans="1:19" x14ac:dyDescent="0.25">
      <c r="D1" s="10" t="s">
        <v>461</v>
      </c>
      <c r="E1" s="10" t="s">
        <v>462</v>
      </c>
      <c r="F1" s="10" t="s">
        <v>463</v>
      </c>
      <c r="G1" s="10" t="s">
        <v>464</v>
      </c>
      <c r="H1" s="10" t="s">
        <v>465</v>
      </c>
      <c r="I1" s="10" t="s">
        <v>435</v>
      </c>
    </row>
    <row r="2" spans="1:19" x14ac:dyDescent="0.25">
      <c r="A2" t="s">
        <v>0</v>
      </c>
      <c r="B2" t="s">
        <v>1</v>
      </c>
      <c r="C2" t="s">
        <v>2</v>
      </c>
      <c r="D2" t="s">
        <v>466</v>
      </c>
      <c r="E2" t="s">
        <v>467</v>
      </c>
      <c r="F2" t="s">
        <v>468</v>
      </c>
      <c r="G2" s="9" t="s">
        <v>469</v>
      </c>
      <c r="H2" s="9" t="s">
        <v>470</v>
      </c>
      <c r="I2" s="9" t="s">
        <v>471</v>
      </c>
      <c r="K2" s="9"/>
      <c r="L2" s="9"/>
      <c r="M2" s="9"/>
      <c r="N2" s="9"/>
    </row>
    <row r="3" spans="1:19" x14ac:dyDescent="0.25">
      <c r="A3" t="s">
        <v>231</v>
      </c>
      <c r="B3">
        <v>63.875</v>
      </c>
      <c r="C3">
        <v>1</v>
      </c>
      <c r="D3">
        <f t="shared" ref="D3:D34" si="0">LN(B3)</f>
        <v>4.1569280485238682</v>
      </c>
      <c r="E3">
        <f t="shared" ref="E3:E34" si="1">SLOPE($D$3:$D$182,$C$3:$C$182)*$C3+INTERCEPT($D$3:$D$182,$C$3:$C$182)</f>
        <v>3.5079420577536702</v>
      </c>
      <c r="F3">
        <f>EXP(SLOPE($D$3:$D$182,$C$3:$C$182)*$C3)*EXP(INTERCEPT($D$3:$D$182,$C$3:$C$182))</f>
        <v>33.379503960862664</v>
      </c>
      <c r="G3">
        <f>(F3-B3)^2</f>
        <v>929.97527867304098</v>
      </c>
      <c r="H3">
        <f>(D3-AVERAGE($D$3:$D$182))^2</f>
        <v>0.3004363704676013</v>
      </c>
      <c r="I3">
        <f>(E3-AVERAGE($D$3:$D$182))^2</f>
        <v>1.0173794240135802E-2</v>
      </c>
      <c r="K3" t="s">
        <v>427</v>
      </c>
      <c r="N3" t="s">
        <v>427</v>
      </c>
      <c r="O3" s="4" t="s">
        <v>440</v>
      </c>
      <c r="P3" s="3">
        <f>SLOPE(D3:D180,C3:C180)</f>
        <v>1.1397200915517966E-3</v>
      </c>
      <c r="R3">
        <v>2011</v>
      </c>
      <c r="S3" t="s">
        <v>487</v>
      </c>
    </row>
    <row r="4" spans="1:19" x14ac:dyDescent="0.25">
      <c r="A4" t="s">
        <v>232</v>
      </c>
      <c r="B4">
        <v>65</v>
      </c>
      <c r="C4">
        <v>2</v>
      </c>
      <c r="D4">
        <f t="shared" si="0"/>
        <v>4.1743872698956368</v>
      </c>
      <c r="E4">
        <f t="shared" si="1"/>
        <v>3.5090817778452217</v>
      </c>
      <c r="F4">
        <f t="shared" ref="F4:F67" si="2">EXP(SLOPE($D$3:$D$182,$C$3:$C$182)*$C4)*EXP(INTERCEPT($D$3:$D$182,$C$3:$C$182))</f>
        <v>33.4175689397631</v>
      </c>
      <c r="G4">
        <f t="shared" ref="G4:G67" si="3">(F4-B4)^2</f>
        <v>997.4499516746165</v>
      </c>
      <c r="H4">
        <f t="shared" ref="H4:H67" si="4">(D4-AVERAGE($D$3:$D$182))^2</f>
        <v>0.31988071834627146</v>
      </c>
      <c r="I4">
        <f t="shared" ref="I4:I67" si="5">(E4-AVERAGE($D$3:$D$182))^2</f>
        <v>9.9451769480085796E-3</v>
      </c>
      <c r="K4" t="s">
        <v>427</v>
      </c>
      <c r="N4" t="s">
        <v>427</v>
      </c>
      <c r="S4" t="s">
        <v>488</v>
      </c>
    </row>
    <row r="5" spans="1:19" x14ac:dyDescent="0.25">
      <c r="A5" t="s">
        <v>233</v>
      </c>
      <c r="B5">
        <v>63.5</v>
      </c>
      <c r="C5">
        <v>3</v>
      </c>
      <c r="D5">
        <f t="shared" si="0"/>
        <v>4.1510399058986458</v>
      </c>
      <c r="E5">
        <f t="shared" si="1"/>
        <v>3.5102214979367736</v>
      </c>
      <c r="F5">
        <f t="shared" si="2"/>
        <v>33.455677326816641</v>
      </c>
      <c r="G5">
        <f t="shared" si="3"/>
        <v>902.66132489035965</v>
      </c>
      <c r="H5">
        <f t="shared" si="4"/>
        <v>0.29401621423830809</v>
      </c>
      <c r="I5">
        <f t="shared" si="5"/>
        <v>9.7191575796554408E-3</v>
      </c>
      <c r="K5" t="s">
        <v>427</v>
      </c>
      <c r="L5" t="s">
        <v>427</v>
      </c>
      <c r="M5" t="s">
        <v>427</v>
      </c>
      <c r="N5" t="s">
        <v>427</v>
      </c>
      <c r="O5" s="2" t="s">
        <v>441</v>
      </c>
      <c r="P5" s="3">
        <f>INTERCEPT(D3:D180,C3:C180)</f>
        <v>3.5068023376621182</v>
      </c>
      <c r="S5" t="s">
        <v>489</v>
      </c>
    </row>
    <row r="6" spans="1:19" x14ac:dyDescent="0.25">
      <c r="A6" t="s">
        <v>234</v>
      </c>
      <c r="B6">
        <v>57.821428571428598</v>
      </c>
      <c r="C6">
        <v>4</v>
      </c>
      <c r="D6">
        <f t="shared" si="0"/>
        <v>4.0573594435024321</v>
      </c>
      <c r="E6">
        <f t="shared" si="1"/>
        <v>3.5113612180283256</v>
      </c>
      <c r="F6">
        <f t="shared" si="2"/>
        <v>33.493829171524645</v>
      </c>
      <c r="G6">
        <f t="shared" si="3"/>
        <v>591.83209256220721</v>
      </c>
      <c r="H6">
        <f t="shared" si="4"/>
        <v>0.20119903812926618</v>
      </c>
      <c r="I6">
        <f t="shared" si="5"/>
        <v>9.4957361350764772E-3</v>
      </c>
      <c r="J6" t="s">
        <v>427</v>
      </c>
      <c r="K6" t="s">
        <v>427</v>
      </c>
      <c r="L6" t="s">
        <v>427</v>
      </c>
      <c r="M6" t="s">
        <v>427</v>
      </c>
      <c r="N6" t="s">
        <v>427</v>
      </c>
      <c r="S6" t="s">
        <v>490</v>
      </c>
    </row>
    <row r="7" spans="1:19" x14ac:dyDescent="0.25">
      <c r="A7" t="s">
        <v>235</v>
      </c>
      <c r="B7">
        <v>56.0625</v>
      </c>
      <c r="C7">
        <v>5</v>
      </c>
      <c r="D7">
        <f t="shared" si="0"/>
        <v>4.0264671398190153</v>
      </c>
      <c r="E7">
        <f t="shared" si="1"/>
        <v>3.5125009381198771</v>
      </c>
      <c r="F7">
        <f t="shared" si="2"/>
        <v>33.532024523444903</v>
      </c>
      <c r="G7">
        <f t="shared" si="3"/>
        <v>507.62232519965062</v>
      </c>
      <c r="H7">
        <f t="shared" si="4"/>
        <v>0.17443975361240402</v>
      </c>
      <c r="I7">
        <f t="shared" si="5"/>
        <v>9.2749126142717721E-3</v>
      </c>
      <c r="J7" t="s">
        <v>427</v>
      </c>
      <c r="K7" t="s">
        <v>427</v>
      </c>
      <c r="L7" t="s">
        <v>427</v>
      </c>
      <c r="M7" t="s">
        <v>427</v>
      </c>
      <c r="N7" t="s">
        <v>427</v>
      </c>
      <c r="O7" s="2" t="s">
        <v>457</v>
      </c>
      <c r="P7" s="3">
        <f>COVAR(D3:D180,C3:C180)</f>
        <v>3.0091459717196312</v>
      </c>
      <c r="S7" t="s">
        <v>491</v>
      </c>
    </row>
    <row r="8" spans="1:19" x14ac:dyDescent="0.25">
      <c r="A8" t="s">
        <v>236</v>
      </c>
      <c r="B8">
        <v>55.4</v>
      </c>
      <c r="C8">
        <v>6</v>
      </c>
      <c r="D8">
        <f t="shared" si="0"/>
        <v>4.014579593753238</v>
      </c>
      <c r="E8">
        <f t="shared" si="1"/>
        <v>3.513640658211429</v>
      </c>
      <c r="F8">
        <f t="shared" si="2"/>
        <v>33.57026343219173</v>
      </c>
      <c r="G8">
        <f t="shared" si="3"/>
        <v>476.5373986199055</v>
      </c>
      <c r="H8">
        <f t="shared" si="4"/>
        <v>0.16465116585624781</v>
      </c>
      <c r="I8">
        <f t="shared" si="5"/>
        <v>9.0566870172411572E-3</v>
      </c>
      <c r="J8" t="s">
        <v>427</v>
      </c>
      <c r="K8" t="s">
        <v>427</v>
      </c>
      <c r="L8" t="s">
        <v>427</v>
      </c>
      <c r="M8" t="s">
        <v>427</v>
      </c>
      <c r="N8" t="s">
        <v>427</v>
      </c>
      <c r="S8" t="s">
        <v>492</v>
      </c>
    </row>
    <row r="9" spans="1:19" x14ac:dyDescent="0.25">
      <c r="A9" t="s">
        <v>237</v>
      </c>
      <c r="B9">
        <v>52.788888888888899</v>
      </c>
      <c r="C9">
        <v>7</v>
      </c>
      <c r="D9">
        <f t="shared" si="0"/>
        <v>3.9663007308566565</v>
      </c>
      <c r="E9">
        <f t="shared" si="1"/>
        <v>3.514780378302981</v>
      </c>
      <c r="F9">
        <f t="shared" si="2"/>
        <v>33.608545947436021</v>
      </c>
      <c r="G9">
        <f t="shared" si="3"/>
        <v>367.88555535174123</v>
      </c>
      <c r="H9">
        <f t="shared" si="4"/>
        <v>0.12780156321843464</v>
      </c>
      <c r="I9">
        <f t="shared" si="5"/>
        <v>8.841059343984714E-3</v>
      </c>
      <c r="O9" s="2" t="s">
        <v>443</v>
      </c>
      <c r="P9" s="3">
        <f>AVERAGE(C3:C180)</f>
        <v>89.5</v>
      </c>
      <c r="S9" t="s">
        <v>493</v>
      </c>
    </row>
    <row r="10" spans="1:19" x14ac:dyDescent="0.25">
      <c r="A10" t="s">
        <v>238</v>
      </c>
      <c r="B10">
        <v>50.683333333333302</v>
      </c>
      <c r="C10">
        <v>8</v>
      </c>
      <c r="D10">
        <f t="shared" si="0"/>
        <v>3.9255971254552633</v>
      </c>
      <c r="E10">
        <f t="shared" si="1"/>
        <v>3.5159200983945325</v>
      </c>
      <c r="F10">
        <f t="shared" si="2"/>
        <v>33.646872118905293</v>
      </c>
      <c r="G10">
        <f t="shared" si="3"/>
        <v>290.24101071070987</v>
      </c>
      <c r="H10">
        <f t="shared" si="4"/>
        <v>0.10035580247332453</v>
      </c>
      <c r="I10">
        <f t="shared" si="5"/>
        <v>8.6280295945025294E-3</v>
      </c>
      <c r="S10" t="s">
        <v>531</v>
      </c>
    </row>
    <row r="11" spans="1:19" x14ac:dyDescent="0.25">
      <c r="A11" t="s">
        <v>239</v>
      </c>
      <c r="B11">
        <v>51.983333333333299</v>
      </c>
      <c r="C11">
        <v>9</v>
      </c>
      <c r="D11">
        <f t="shared" si="0"/>
        <v>3.950923154385702</v>
      </c>
      <c r="E11">
        <f t="shared" si="1"/>
        <v>3.5170598184860844</v>
      </c>
      <c r="F11">
        <f t="shared" si="2"/>
        <v>33.685241996383802</v>
      </c>
      <c r="G11">
        <f t="shared" si="3"/>
        <v>334.82014657534626</v>
      </c>
      <c r="H11">
        <f t="shared" si="4"/>
        <v>0.11704326749982968</v>
      </c>
      <c r="I11">
        <f t="shared" si="5"/>
        <v>8.417597768794435E-3</v>
      </c>
      <c r="O11" s="2" t="s">
        <v>472</v>
      </c>
      <c r="P11" s="3">
        <f>AVERAGE(D3:D180)</f>
        <v>3.6088072858560039</v>
      </c>
      <c r="S11" t="s">
        <v>495</v>
      </c>
    </row>
    <row r="12" spans="1:19" x14ac:dyDescent="0.25">
      <c r="A12" t="s">
        <v>240</v>
      </c>
      <c r="B12">
        <v>52.337499999999999</v>
      </c>
      <c r="C12">
        <v>10</v>
      </c>
      <c r="D12">
        <f t="shared" si="0"/>
        <v>3.9577131313452618</v>
      </c>
      <c r="E12">
        <f t="shared" si="1"/>
        <v>3.5181995385776363</v>
      </c>
      <c r="F12">
        <f t="shared" si="2"/>
        <v>33.723655629712553</v>
      </c>
      <c r="G12">
        <f t="shared" si="3"/>
        <v>346.47520224128164</v>
      </c>
      <c r="H12">
        <f t="shared" si="4"/>
        <v>0.12173528901657395</v>
      </c>
      <c r="I12">
        <f t="shared" si="5"/>
        <v>8.2097638668605158E-3</v>
      </c>
      <c r="P12" t="s">
        <v>427</v>
      </c>
      <c r="S12" t="s">
        <v>496</v>
      </c>
    </row>
    <row r="13" spans="1:19" x14ac:dyDescent="0.25">
      <c r="A13" t="s">
        <v>241</v>
      </c>
      <c r="B13">
        <v>53.1944444444444</v>
      </c>
      <c r="C13">
        <v>11</v>
      </c>
      <c r="D13">
        <f t="shared" si="0"/>
        <v>3.9739539631586354</v>
      </c>
      <c r="E13">
        <f t="shared" si="1"/>
        <v>3.5193392586691878</v>
      </c>
      <c r="F13">
        <f t="shared" si="2"/>
        <v>33.762113068789411</v>
      </c>
      <c r="G13">
        <f t="shared" si="3"/>
        <v>377.61550269326534</v>
      </c>
      <c r="H13">
        <f t="shared" si="4"/>
        <v>0.13333209594515211</v>
      </c>
      <c r="I13">
        <f t="shared" si="5"/>
        <v>8.0045278887008499E-3</v>
      </c>
      <c r="O13" s="2" t="s">
        <v>445</v>
      </c>
      <c r="P13" s="3" t="s">
        <v>459</v>
      </c>
      <c r="S13" t="s">
        <v>497</v>
      </c>
    </row>
    <row r="14" spans="1:19" x14ac:dyDescent="0.25">
      <c r="A14" t="s">
        <v>242</v>
      </c>
      <c r="B14">
        <v>52.178571428571402</v>
      </c>
      <c r="C14">
        <v>12</v>
      </c>
      <c r="D14">
        <f t="shared" si="0"/>
        <v>3.954671901575495</v>
      </c>
      <c r="E14">
        <f t="shared" si="1"/>
        <v>3.5204789787607398</v>
      </c>
      <c r="F14">
        <f t="shared" si="2"/>
        <v>33.800614363569125</v>
      </c>
      <c r="G14">
        <f t="shared" si="3"/>
        <v>337.74930588306711</v>
      </c>
      <c r="H14">
        <f t="shared" si="4"/>
        <v>0.11962233240679127</v>
      </c>
      <c r="I14">
        <f t="shared" si="5"/>
        <v>7.8018898343152768E-3</v>
      </c>
      <c r="S14" t="s">
        <v>498</v>
      </c>
    </row>
    <row r="15" spans="1:19" x14ac:dyDescent="0.25">
      <c r="A15" t="s">
        <v>243</v>
      </c>
      <c r="B15">
        <v>52.3125</v>
      </c>
      <c r="C15">
        <v>13</v>
      </c>
      <c r="D15">
        <f t="shared" si="0"/>
        <v>3.9572353482496943</v>
      </c>
      <c r="E15">
        <f t="shared" si="1"/>
        <v>3.5216186988522917</v>
      </c>
      <c r="F15">
        <f t="shared" si="2"/>
        <v>33.839159564063401</v>
      </c>
      <c r="G15">
        <f t="shared" si="3"/>
        <v>341.26430686201024</v>
      </c>
      <c r="H15">
        <f t="shared" si="4"/>
        <v>0.12140211466342141</v>
      </c>
      <c r="I15">
        <f t="shared" si="5"/>
        <v>7.601849703703879E-3</v>
      </c>
      <c r="O15" s="2" t="s">
        <v>473</v>
      </c>
      <c r="P15" s="3">
        <f>VARP(D3:D180)</f>
        <v>0.12394033570387154</v>
      </c>
      <c r="R15">
        <v>2012</v>
      </c>
      <c r="S15" t="s">
        <v>487</v>
      </c>
    </row>
    <row r="16" spans="1:19" x14ac:dyDescent="0.25">
      <c r="A16" t="s">
        <v>244</v>
      </c>
      <c r="B16">
        <v>52.0555555555556</v>
      </c>
      <c r="C16">
        <v>14</v>
      </c>
      <c r="D16">
        <f t="shared" si="0"/>
        <v>3.9523115243422584</v>
      </c>
      <c r="E16">
        <f t="shared" si="1"/>
        <v>3.5227584189438432</v>
      </c>
      <c r="F16">
        <f t="shared" si="2"/>
        <v>33.877748720340996</v>
      </c>
      <c r="G16">
        <f t="shared" si="3"/>
        <v>330.43266133837477</v>
      </c>
      <c r="H16">
        <f t="shared" si="4"/>
        <v>0.11799516185802164</v>
      </c>
      <c r="I16">
        <f t="shared" si="5"/>
        <v>7.4044074968667318E-3</v>
      </c>
      <c r="S16" t="s">
        <v>488</v>
      </c>
    </row>
    <row r="17" spans="1:19" x14ac:dyDescent="0.25">
      <c r="A17" t="s">
        <v>245</v>
      </c>
      <c r="B17">
        <v>51.288888888888899</v>
      </c>
      <c r="C17">
        <v>15</v>
      </c>
      <c r="D17">
        <f t="shared" si="0"/>
        <v>3.9374741378576705</v>
      </c>
      <c r="E17">
        <f t="shared" si="1"/>
        <v>3.5238981390353952</v>
      </c>
      <c r="F17">
        <f t="shared" si="2"/>
        <v>33.916381882527766</v>
      </c>
      <c r="G17">
        <f t="shared" si="3"/>
        <v>301.80399968606662</v>
      </c>
      <c r="H17">
        <f t="shared" si="4"/>
        <v>0.10802189960468547</v>
      </c>
      <c r="I17">
        <f t="shared" si="5"/>
        <v>7.2095632138036818E-3</v>
      </c>
      <c r="O17" s="2" t="s">
        <v>448</v>
      </c>
      <c r="P17" s="3">
        <f>VARP(C3:C180)</f>
        <v>2640.25</v>
      </c>
      <c r="S17" t="s">
        <v>489</v>
      </c>
    </row>
    <row r="18" spans="1:19" x14ac:dyDescent="0.25">
      <c r="A18" t="s">
        <v>246</v>
      </c>
      <c r="B18">
        <v>51.3</v>
      </c>
      <c r="C18">
        <v>16</v>
      </c>
      <c r="D18">
        <f t="shared" si="0"/>
        <v>3.9376907521767239</v>
      </c>
      <c r="E18">
        <f t="shared" si="1"/>
        <v>3.5250378591269471</v>
      </c>
      <c r="F18">
        <f t="shared" si="2"/>
        <v>33.955059100806722</v>
      </c>
      <c r="G18">
        <f t="shared" si="3"/>
        <v>300.84697479650765</v>
      </c>
      <c r="H18">
        <f t="shared" si="4"/>
        <v>0.10816433441913222</v>
      </c>
      <c r="I18">
        <f t="shared" si="5"/>
        <v>7.0173168545148061E-3</v>
      </c>
      <c r="S18" t="s">
        <v>490</v>
      </c>
    </row>
    <row r="19" spans="1:19" x14ac:dyDescent="0.25">
      <c r="A19" t="s">
        <v>247</v>
      </c>
      <c r="B19">
        <v>51.8888888888889</v>
      </c>
      <c r="C19">
        <v>17</v>
      </c>
      <c r="D19">
        <f t="shared" si="0"/>
        <v>3.9491046803326784</v>
      </c>
      <c r="E19">
        <f t="shared" si="1"/>
        <v>3.5261775792184986</v>
      </c>
      <c r="F19">
        <f t="shared" si="2"/>
        <v>33.993780425418095</v>
      </c>
      <c r="G19">
        <f t="shared" si="3"/>
        <v>320.23490691938446</v>
      </c>
      <c r="H19">
        <f t="shared" si="4"/>
        <v>0.11580231668761343</v>
      </c>
      <c r="I19">
        <f t="shared" si="5"/>
        <v>6.8276684190001777E-3</v>
      </c>
      <c r="O19" s="2" t="s">
        <v>449</v>
      </c>
      <c r="P19" s="3">
        <f>CORREL(D3:D180,C3:C180)</f>
        <v>0.1663467789639208</v>
      </c>
      <c r="S19" t="s">
        <v>491</v>
      </c>
    </row>
    <row r="20" spans="1:19" x14ac:dyDescent="0.25">
      <c r="A20" t="s">
        <v>248</v>
      </c>
      <c r="B20">
        <v>50.8333333333333</v>
      </c>
      <c r="C20">
        <v>18</v>
      </c>
      <c r="D20">
        <f t="shared" si="0"/>
        <v>3.928552307379356</v>
      </c>
      <c r="E20">
        <f t="shared" si="1"/>
        <v>3.5273172993100506</v>
      </c>
      <c r="F20">
        <f t="shared" si="2"/>
        <v>34.032545906659415</v>
      </c>
      <c r="G20">
        <f t="shared" si="3"/>
        <v>282.26645815628331</v>
      </c>
      <c r="H20">
        <f t="shared" si="4"/>
        <v>0.10223687878896894</v>
      </c>
      <c r="I20">
        <f t="shared" si="5"/>
        <v>6.6406179072596491E-3</v>
      </c>
      <c r="S20" t="s">
        <v>492</v>
      </c>
    </row>
    <row r="21" spans="1:19" x14ac:dyDescent="0.25">
      <c r="A21" t="s">
        <v>249</v>
      </c>
      <c r="B21">
        <v>50.355555555555597</v>
      </c>
      <c r="C21">
        <v>19</v>
      </c>
      <c r="D21">
        <f t="shared" si="0"/>
        <v>3.9191089518176327</v>
      </c>
      <c r="E21">
        <f t="shared" si="1"/>
        <v>3.5284570194016025</v>
      </c>
      <c r="F21">
        <f t="shared" si="2"/>
        <v>34.071355594885581</v>
      </c>
      <c r="G21">
        <f t="shared" si="3"/>
        <v>265.17516835908532</v>
      </c>
      <c r="H21">
        <f t="shared" si="4"/>
        <v>9.6287123898562324E-2</v>
      </c>
      <c r="I21">
        <f t="shared" si="5"/>
        <v>6.4561653192932956E-3</v>
      </c>
      <c r="S21" t="s">
        <v>493</v>
      </c>
    </row>
    <row r="22" spans="1:19" x14ac:dyDescent="0.25">
      <c r="A22" t="s">
        <v>250</v>
      </c>
      <c r="B22">
        <v>49.25</v>
      </c>
      <c r="C22">
        <v>20</v>
      </c>
      <c r="D22">
        <f t="shared" si="0"/>
        <v>3.8969093676180977</v>
      </c>
      <c r="E22">
        <f t="shared" si="1"/>
        <v>3.529596739493154</v>
      </c>
      <c r="F22">
        <f t="shared" si="2"/>
        <v>34.11020954050889</v>
      </c>
      <c r="G22">
        <f t="shared" si="3"/>
        <v>229.21325515729802</v>
      </c>
      <c r="H22">
        <f t="shared" si="4"/>
        <v>8.3002809515652212E-2</v>
      </c>
      <c r="I22">
        <f t="shared" si="5"/>
        <v>6.2743106551011859E-3</v>
      </c>
      <c r="S22" t="s">
        <v>531</v>
      </c>
    </row>
    <row r="23" spans="1:19" x14ac:dyDescent="0.25">
      <c r="A23" t="s">
        <v>251</v>
      </c>
      <c r="B23">
        <v>47.725000000000001</v>
      </c>
      <c r="C23">
        <v>21</v>
      </c>
      <c r="D23">
        <f t="shared" si="0"/>
        <v>3.8654553696118112</v>
      </c>
      <c r="E23">
        <f t="shared" si="1"/>
        <v>3.5307364595847059</v>
      </c>
      <c r="F23">
        <f t="shared" si="2"/>
        <v>34.14910779399915</v>
      </c>
      <c r="G23">
        <f t="shared" si="3"/>
        <v>184.30484918895468</v>
      </c>
      <c r="H23">
        <f t="shared" si="4"/>
        <v>6.5868238895527925E-2</v>
      </c>
      <c r="I23">
        <f t="shared" si="5"/>
        <v>6.0950539146831803E-3</v>
      </c>
      <c r="S23" t="s">
        <v>495</v>
      </c>
    </row>
    <row r="24" spans="1:19" x14ac:dyDescent="0.25">
      <c r="A24" t="s">
        <v>252</v>
      </c>
      <c r="B24">
        <v>44.6111111111111</v>
      </c>
      <c r="C24">
        <v>22</v>
      </c>
      <c r="D24">
        <f t="shared" si="0"/>
        <v>3.7979829560505967</v>
      </c>
      <c r="E24">
        <f t="shared" si="1"/>
        <v>3.5318761796762579</v>
      </c>
      <c r="F24">
        <f t="shared" si="2"/>
        <v>34.188050405883715</v>
      </c>
      <c r="G24">
        <f t="shared" si="3"/>
        <v>108.6401944648552</v>
      </c>
      <c r="H24">
        <f t="shared" si="4"/>
        <v>3.5787434193573352E-2</v>
      </c>
      <c r="I24">
        <f t="shared" si="5"/>
        <v>5.9183950980393482E-3</v>
      </c>
      <c r="S24" t="s">
        <v>496</v>
      </c>
    </row>
    <row r="25" spans="1:19" x14ac:dyDescent="0.25">
      <c r="A25" t="s">
        <v>253</v>
      </c>
      <c r="B25">
        <v>41.5</v>
      </c>
      <c r="C25">
        <v>23</v>
      </c>
      <c r="D25">
        <f t="shared" si="0"/>
        <v>3.7256934272366524</v>
      </c>
      <c r="E25">
        <f t="shared" si="1"/>
        <v>3.5330158997678094</v>
      </c>
      <c r="F25">
        <f t="shared" si="2"/>
        <v>34.227037426747565</v>
      </c>
      <c r="G25">
        <f t="shared" si="3"/>
        <v>52.895984591930684</v>
      </c>
      <c r="H25">
        <f t="shared" si="4"/>
        <v>1.3662370046856965E-2</v>
      </c>
      <c r="I25">
        <f t="shared" si="5"/>
        <v>5.7443342051697582E-3</v>
      </c>
      <c r="S25" t="s">
        <v>497</v>
      </c>
    </row>
    <row r="26" spans="1:19" x14ac:dyDescent="0.25">
      <c r="A26" t="s">
        <v>254</v>
      </c>
      <c r="B26">
        <v>43.6666666666667</v>
      </c>
      <c r="C26">
        <v>24</v>
      </c>
      <c r="D26">
        <f t="shared" si="0"/>
        <v>3.7765850345330425</v>
      </c>
      <c r="E26">
        <f t="shared" si="1"/>
        <v>3.5341556198593613</v>
      </c>
      <c r="F26">
        <f t="shared" si="2"/>
        <v>34.26606890723334</v>
      </c>
      <c r="G26">
        <f t="shared" si="3"/>
        <v>88.371238234663508</v>
      </c>
      <c r="H26">
        <f t="shared" si="4"/>
        <v>2.8149372951135544E-2</v>
      </c>
      <c r="I26">
        <f t="shared" si="5"/>
        <v>5.5728712360742739E-3</v>
      </c>
      <c r="S26" t="s">
        <v>498</v>
      </c>
    </row>
    <row r="27" spans="1:19" x14ac:dyDescent="0.25">
      <c r="A27" t="s">
        <v>255</v>
      </c>
      <c r="B27">
        <v>42.75</v>
      </c>
      <c r="C27">
        <v>25</v>
      </c>
      <c r="D27">
        <f t="shared" si="0"/>
        <v>3.755369195382769</v>
      </c>
      <c r="E27">
        <f t="shared" si="1"/>
        <v>3.5352953399509133</v>
      </c>
      <c r="F27">
        <f t="shared" si="2"/>
        <v>34.305144898041476</v>
      </c>
      <c r="G27">
        <f t="shared" si="3"/>
        <v>71.315577693074914</v>
      </c>
      <c r="H27">
        <f t="shared" si="4"/>
        <v>2.1480393324131701E-2</v>
      </c>
      <c r="I27">
        <f t="shared" si="5"/>
        <v>5.404006190752964E-3</v>
      </c>
      <c r="R27">
        <v>2013</v>
      </c>
      <c r="S27" t="s">
        <v>487</v>
      </c>
    </row>
    <row r="28" spans="1:19" x14ac:dyDescent="0.25">
      <c r="A28" t="s">
        <v>256</v>
      </c>
      <c r="B28">
        <v>43.40625</v>
      </c>
      <c r="C28">
        <v>26</v>
      </c>
      <c r="D28">
        <f t="shared" si="0"/>
        <v>3.7706034399546171</v>
      </c>
      <c r="E28">
        <f t="shared" si="1"/>
        <v>3.5364350600424648</v>
      </c>
      <c r="F28">
        <f t="shared" si="2"/>
        <v>34.344265449930184</v>
      </c>
      <c r="G28">
        <f t="shared" si="3"/>
        <v>82.119563985704048</v>
      </c>
      <c r="H28">
        <f t="shared" si="4"/>
        <v>2.6177995481102206E-2</v>
      </c>
      <c r="I28">
        <f t="shared" si="5"/>
        <v>5.2377390692058927E-3</v>
      </c>
      <c r="S28" t="s">
        <v>488</v>
      </c>
    </row>
    <row r="29" spans="1:19" x14ac:dyDescent="0.25">
      <c r="A29" t="s">
        <v>257</v>
      </c>
      <c r="B29">
        <v>42.28125</v>
      </c>
      <c r="C29">
        <v>27</v>
      </c>
      <c r="D29">
        <f t="shared" si="0"/>
        <v>3.7443437253710616</v>
      </c>
      <c r="E29">
        <f t="shared" si="1"/>
        <v>3.5375747801340167</v>
      </c>
      <c r="F29">
        <f t="shared" si="2"/>
        <v>34.383430613715582</v>
      </c>
      <c r="G29">
        <f t="shared" si="3"/>
        <v>62.375551058369979</v>
      </c>
      <c r="H29">
        <f t="shared" si="4"/>
        <v>1.8370126436418915E-2</v>
      </c>
      <c r="I29">
        <f t="shared" si="5"/>
        <v>5.0740698714329307E-3</v>
      </c>
      <c r="S29" t="s">
        <v>489</v>
      </c>
    </row>
    <row r="30" spans="1:19" x14ac:dyDescent="0.25">
      <c r="A30" t="s">
        <v>258</v>
      </c>
      <c r="B30">
        <v>41.412500000000001</v>
      </c>
      <c r="C30">
        <v>28</v>
      </c>
      <c r="D30">
        <f t="shared" si="0"/>
        <v>3.7235827676260143</v>
      </c>
      <c r="E30">
        <f t="shared" si="1"/>
        <v>3.5387145002255687</v>
      </c>
      <c r="F30">
        <f t="shared" si="2"/>
        <v>34.422640440271728</v>
      </c>
      <c r="G30">
        <f t="shared" si="3"/>
        <v>48.858136664724732</v>
      </c>
      <c r="H30">
        <f t="shared" si="4"/>
        <v>1.317341121553799E-2</v>
      </c>
      <c r="I30">
        <f t="shared" si="5"/>
        <v>4.9129985974341421E-3</v>
      </c>
      <c r="S30" t="s">
        <v>490</v>
      </c>
    </row>
    <row r="31" spans="1:19" x14ac:dyDescent="0.25">
      <c r="A31" t="s">
        <v>259</v>
      </c>
      <c r="B31">
        <v>40.604999999999997</v>
      </c>
      <c r="C31">
        <v>29</v>
      </c>
      <c r="D31">
        <f t="shared" si="0"/>
        <v>3.7038912117343741</v>
      </c>
      <c r="E31">
        <f t="shared" si="1"/>
        <v>3.5398542203171202</v>
      </c>
      <c r="F31">
        <f t="shared" si="2"/>
        <v>34.461894980530701</v>
      </c>
      <c r="G31">
        <f t="shared" si="3"/>
        <v>37.737739280228858</v>
      </c>
      <c r="H31">
        <f t="shared" si="4"/>
        <v>9.0409529604434033E-3</v>
      </c>
      <c r="I31">
        <f t="shared" si="5"/>
        <v>4.7545252472095904E-3</v>
      </c>
      <c r="S31" t="s">
        <v>491</v>
      </c>
    </row>
    <row r="32" spans="1:19" x14ac:dyDescent="0.25">
      <c r="A32" t="s">
        <v>260</v>
      </c>
      <c r="B32">
        <v>39.9375</v>
      </c>
      <c r="C32">
        <v>30</v>
      </c>
      <c r="D32">
        <f t="shared" si="0"/>
        <v>3.6873157321377534</v>
      </c>
      <c r="E32">
        <f t="shared" si="1"/>
        <v>3.5409939404086721</v>
      </c>
      <c r="F32">
        <f t="shared" si="2"/>
        <v>34.501194285482654</v>
      </c>
      <c r="G32">
        <f t="shared" si="3"/>
        <v>29.55341982169395</v>
      </c>
      <c r="H32">
        <f t="shared" si="4"/>
        <v>6.1635761375743595E-3</v>
      </c>
      <c r="I32">
        <f t="shared" si="5"/>
        <v>4.5986498207591497E-3</v>
      </c>
      <c r="S32" t="s">
        <v>492</v>
      </c>
    </row>
    <row r="33" spans="1:19" x14ac:dyDescent="0.25">
      <c r="A33" t="s">
        <v>261</v>
      </c>
      <c r="B33">
        <v>38.022222222222197</v>
      </c>
      <c r="C33">
        <v>31</v>
      </c>
      <c r="D33">
        <f t="shared" si="0"/>
        <v>3.6381707841218729</v>
      </c>
      <c r="E33">
        <f t="shared" si="1"/>
        <v>3.542133660500224</v>
      </c>
      <c r="F33">
        <f t="shared" si="2"/>
        <v>34.540538406175891</v>
      </c>
      <c r="G33">
        <f t="shared" si="3"/>
        <v>12.12212219491877</v>
      </c>
      <c r="H33">
        <f t="shared" si="4"/>
        <v>8.6221503040969391E-4</v>
      </c>
      <c r="I33">
        <f t="shared" si="5"/>
        <v>4.4453723180828842E-3</v>
      </c>
      <c r="S33" t="s">
        <v>493</v>
      </c>
    </row>
    <row r="34" spans="1:19" x14ac:dyDescent="0.25">
      <c r="A34" t="s">
        <v>262</v>
      </c>
      <c r="B34">
        <v>34.994162640901799</v>
      </c>
      <c r="C34">
        <v>32</v>
      </c>
      <c r="D34">
        <f t="shared" si="0"/>
        <v>3.5551812658912811</v>
      </c>
      <c r="E34">
        <f t="shared" si="1"/>
        <v>3.5432733805917755</v>
      </c>
      <c r="F34">
        <f t="shared" si="2"/>
        <v>34.579927393716936</v>
      </c>
      <c r="G34">
        <f t="shared" si="3"/>
        <v>0.17159084001030411</v>
      </c>
      <c r="H34">
        <f t="shared" si="4"/>
        <v>2.8757500172568395E-3</v>
      </c>
      <c r="I34">
        <f t="shared" si="5"/>
        <v>4.2946927391808512E-3</v>
      </c>
      <c r="S34" t="s">
        <v>531</v>
      </c>
    </row>
    <row r="35" spans="1:19" x14ac:dyDescent="0.25">
      <c r="A35" t="s">
        <v>263</v>
      </c>
      <c r="B35">
        <v>34.453286749482402</v>
      </c>
      <c r="C35">
        <v>33</v>
      </c>
      <c r="D35">
        <f t="shared" ref="D35:D66" si="6">LN(B35)</f>
        <v>3.5396043992798112</v>
      </c>
      <c r="E35">
        <f t="shared" ref="E35:E66" si="7">SLOPE($D$3:$D$182,$C$3:$C$182)*$C35+INTERCEPT($D$3:$D$182,$C$3:$C$182)</f>
        <v>3.5444131006833275</v>
      </c>
      <c r="F35">
        <f t="shared" si="2"/>
        <v>34.619361299270587</v>
      </c>
      <c r="G35">
        <f t="shared" si="3"/>
        <v>2.7580756087348276E-2</v>
      </c>
      <c r="H35">
        <f t="shared" si="4"/>
        <v>4.7890395104773871E-3</v>
      </c>
      <c r="I35">
        <f t="shared" si="5"/>
        <v>4.1466110840529327E-3</v>
      </c>
      <c r="S35" t="s">
        <v>495</v>
      </c>
    </row>
    <row r="36" spans="1:19" x14ac:dyDescent="0.25">
      <c r="A36" t="s">
        <v>264</v>
      </c>
      <c r="B36">
        <v>34.848495589161899</v>
      </c>
      <c r="C36">
        <v>34</v>
      </c>
      <c r="D36">
        <f t="shared" si="6"/>
        <v>3.5510099681015008</v>
      </c>
      <c r="E36">
        <f t="shared" si="7"/>
        <v>3.5455528207748794</v>
      </c>
      <c r="F36">
        <f t="shared" si="2"/>
        <v>34.658840174059989</v>
      </c>
      <c r="G36">
        <f t="shared" si="3"/>
        <v>3.596917647747791E-2</v>
      </c>
      <c r="H36">
        <f t="shared" si="4"/>
        <v>3.3405299396149913E-3</v>
      </c>
      <c r="I36">
        <f t="shared" si="5"/>
        <v>4.0011273526991886E-3</v>
      </c>
      <c r="S36" t="s">
        <v>496</v>
      </c>
    </row>
    <row r="37" spans="1:19" x14ac:dyDescent="0.25">
      <c r="A37" t="s">
        <v>265</v>
      </c>
      <c r="B37">
        <v>35.592003105590003</v>
      </c>
      <c r="C37">
        <v>35</v>
      </c>
      <c r="D37">
        <f t="shared" si="6"/>
        <v>3.5721209807590188</v>
      </c>
      <c r="E37">
        <f t="shared" si="7"/>
        <v>3.5466925408664309</v>
      </c>
      <c r="F37">
        <f t="shared" si="2"/>
        <v>34.698364069366697</v>
      </c>
      <c r="G37">
        <f t="shared" si="3"/>
        <v>0.79859072706211842</v>
      </c>
      <c r="H37">
        <f t="shared" si="4"/>
        <v>1.345884981669068E-3</v>
      </c>
      <c r="I37">
        <f t="shared" si="5"/>
        <v>3.8582415451196748E-3</v>
      </c>
      <c r="S37" t="s">
        <v>497</v>
      </c>
    </row>
    <row r="38" spans="1:19" x14ac:dyDescent="0.25">
      <c r="A38" t="s">
        <v>266</v>
      </c>
      <c r="B38">
        <v>34.593297101449302</v>
      </c>
      <c r="C38">
        <v>36</v>
      </c>
      <c r="D38">
        <f t="shared" si="6"/>
        <v>3.5436599379048523</v>
      </c>
      <c r="E38">
        <f t="shared" si="7"/>
        <v>3.5478322609579829</v>
      </c>
      <c r="F38">
        <f t="shared" si="2"/>
        <v>34.737933036530762</v>
      </c>
      <c r="G38">
        <f t="shared" si="3"/>
        <v>2.0919553716888407E-2</v>
      </c>
      <c r="H38">
        <f t="shared" si="4"/>
        <v>4.2441769450684052E-3</v>
      </c>
      <c r="I38">
        <f t="shared" si="5"/>
        <v>3.7179536613142785E-3</v>
      </c>
      <c r="S38" t="s">
        <v>498</v>
      </c>
    </row>
    <row r="39" spans="1:19" x14ac:dyDescent="0.25">
      <c r="A39" t="s">
        <v>267</v>
      </c>
      <c r="B39">
        <v>35.214988972904798</v>
      </c>
      <c r="C39">
        <v>37</v>
      </c>
      <c r="D39">
        <f t="shared" si="6"/>
        <v>3.5614718150610134</v>
      </c>
      <c r="E39">
        <f t="shared" si="7"/>
        <v>3.5489719810495348</v>
      </c>
      <c r="F39">
        <f t="shared" si="2"/>
        <v>34.777547126950758</v>
      </c>
      <c r="G39">
        <f t="shared" si="3"/>
        <v>0.19135536859167876</v>
      </c>
      <c r="H39">
        <f t="shared" si="4"/>
        <v>2.2406467953833939E-3</v>
      </c>
      <c r="I39">
        <f t="shared" si="5"/>
        <v>3.5802637012830566E-3</v>
      </c>
      <c r="R39">
        <v>2014</v>
      </c>
      <c r="S39" t="s">
        <v>487</v>
      </c>
    </row>
    <row r="40" spans="1:19" x14ac:dyDescent="0.25">
      <c r="A40" t="s">
        <v>268</v>
      </c>
      <c r="B40">
        <v>35.546739130434801</v>
      </c>
      <c r="C40">
        <v>38</v>
      </c>
      <c r="D40">
        <f t="shared" si="6"/>
        <v>3.5708484257533826</v>
      </c>
      <c r="E40">
        <f t="shared" si="7"/>
        <v>3.5501117011410863</v>
      </c>
      <c r="F40">
        <f t="shared" si="2"/>
        <v>34.817206392083889</v>
      </c>
      <c r="G40">
        <f t="shared" si="3"/>
        <v>0.53221801632577992</v>
      </c>
      <c r="H40">
        <f t="shared" si="4"/>
        <v>1.4408750602903739E-3</v>
      </c>
      <c r="I40">
        <f t="shared" si="5"/>
        <v>3.445171665026061E-3</v>
      </c>
      <c r="S40" t="s">
        <v>488</v>
      </c>
    </row>
    <row r="41" spans="1:19" x14ac:dyDescent="0.25">
      <c r="A41" t="s">
        <v>269</v>
      </c>
      <c r="B41">
        <v>34.7028554175293</v>
      </c>
      <c r="C41">
        <v>39</v>
      </c>
      <c r="D41">
        <f t="shared" si="6"/>
        <v>3.5468219722568901</v>
      </c>
      <c r="E41">
        <f t="shared" si="7"/>
        <v>3.5512514212326383</v>
      </c>
      <c r="F41">
        <f t="shared" si="2"/>
        <v>34.856910883446034</v>
      </c>
      <c r="G41">
        <f t="shared" si="3"/>
        <v>2.3733086578822032E-2</v>
      </c>
      <c r="H41">
        <f t="shared" si="4"/>
        <v>3.8421791019804755E-3</v>
      </c>
      <c r="I41">
        <f t="shared" si="5"/>
        <v>3.312677552543187E-3</v>
      </c>
      <c r="S41" t="s">
        <v>489</v>
      </c>
    </row>
    <row r="42" spans="1:19" x14ac:dyDescent="0.25">
      <c r="A42" t="s">
        <v>270</v>
      </c>
      <c r="B42">
        <v>32.744565217391298</v>
      </c>
      <c r="C42">
        <v>40</v>
      </c>
      <c r="D42">
        <f t="shared" si="6"/>
        <v>3.4887370007498699</v>
      </c>
      <c r="E42">
        <f t="shared" si="7"/>
        <v>3.5523911413241902</v>
      </c>
      <c r="F42">
        <f t="shared" si="2"/>
        <v>34.896660652611814</v>
      </c>
      <c r="G42">
        <f t="shared" si="3"/>
        <v>4.6315147622969848</v>
      </c>
      <c r="H42">
        <f t="shared" si="4"/>
        <v>1.4416873365468288E-2</v>
      </c>
      <c r="I42">
        <f t="shared" si="5"/>
        <v>3.1827813638344873E-3</v>
      </c>
      <c r="S42" t="s">
        <v>490</v>
      </c>
    </row>
    <row r="43" spans="1:19" x14ac:dyDescent="0.25">
      <c r="A43" t="s">
        <v>271</v>
      </c>
      <c r="B43">
        <v>28.539855072463801</v>
      </c>
      <c r="C43">
        <v>41</v>
      </c>
      <c r="D43">
        <f t="shared" si="6"/>
        <v>3.3513015339861756</v>
      </c>
      <c r="E43">
        <f t="shared" si="7"/>
        <v>3.5535308614157417</v>
      </c>
      <c r="F43">
        <f t="shared" si="2"/>
        <v>34.93645575121468</v>
      </c>
      <c r="G43">
        <f t="shared" si="3"/>
        <v>40.916500243396207</v>
      </c>
      <c r="H43">
        <f t="shared" si="4"/>
        <v>6.6309212246045565E-2</v>
      </c>
      <c r="I43">
        <f t="shared" si="5"/>
        <v>3.0554830989000109E-3</v>
      </c>
      <c r="S43" t="s">
        <v>491</v>
      </c>
    </row>
    <row r="44" spans="1:19" x14ac:dyDescent="0.25">
      <c r="A44" t="s">
        <v>272</v>
      </c>
      <c r="B44">
        <v>28.2254572118702</v>
      </c>
      <c r="C44">
        <v>42</v>
      </c>
      <c r="D44">
        <f t="shared" si="6"/>
        <v>3.3402243087307513</v>
      </c>
      <c r="E44">
        <f t="shared" si="7"/>
        <v>3.5546705815072936</v>
      </c>
      <c r="F44">
        <f t="shared" si="2"/>
        <v>34.97629623094695</v>
      </c>
      <c r="G44">
        <f t="shared" si="3"/>
        <v>45.573827461489138</v>
      </c>
      <c r="H44">
        <f t="shared" si="4"/>
        <v>7.2136815601463955E-2</v>
      </c>
      <c r="I44">
        <f t="shared" si="5"/>
        <v>2.9307827577396586E-3</v>
      </c>
      <c r="S44" t="s">
        <v>492</v>
      </c>
    </row>
    <row r="45" spans="1:19" x14ac:dyDescent="0.25">
      <c r="A45" t="s">
        <v>273</v>
      </c>
      <c r="B45">
        <v>28.4002047889099</v>
      </c>
      <c r="C45">
        <v>43</v>
      </c>
      <c r="D45">
        <f t="shared" si="6"/>
        <v>3.3463963560182712</v>
      </c>
      <c r="E45">
        <f t="shared" si="7"/>
        <v>3.5558103015988456</v>
      </c>
      <c r="F45">
        <f t="shared" si="2"/>
        <v>35.016182143559888</v>
      </c>
      <c r="G45">
        <f t="shared" si="3"/>
        <v>43.771156357241459</v>
      </c>
      <c r="H45">
        <f t="shared" si="4"/>
        <v>6.8859496098303427E-2</v>
      </c>
      <c r="I45">
        <f t="shared" si="5"/>
        <v>2.8086803403534807E-3</v>
      </c>
      <c r="S45" t="s">
        <v>493</v>
      </c>
    </row>
    <row r="46" spans="1:19" x14ac:dyDescent="0.25">
      <c r="A46" t="s">
        <v>274</v>
      </c>
      <c r="B46">
        <v>30.829321946169799</v>
      </c>
      <c r="C46">
        <v>44</v>
      </c>
      <c r="D46">
        <f t="shared" si="6"/>
        <v>3.4284662483435135</v>
      </c>
      <c r="E46">
        <f t="shared" si="7"/>
        <v>3.5569500216903971</v>
      </c>
      <c r="F46">
        <f t="shared" si="2"/>
        <v>35.056113540863791</v>
      </c>
      <c r="G46">
        <f t="shared" si="3"/>
        <v>17.86576718497578</v>
      </c>
      <c r="H46">
        <f t="shared" si="4"/>
        <v>3.2522889811081437E-2</v>
      </c>
      <c r="I46">
        <f t="shared" si="5"/>
        <v>2.6891758467415235E-3</v>
      </c>
      <c r="S46" t="s">
        <v>531</v>
      </c>
    </row>
    <row r="47" spans="1:19" x14ac:dyDescent="0.25">
      <c r="A47" t="s">
        <v>275</v>
      </c>
      <c r="B47">
        <v>34.371829710144901</v>
      </c>
      <c r="C47">
        <v>45</v>
      </c>
      <c r="D47">
        <f t="shared" si="6"/>
        <v>3.5372373251196332</v>
      </c>
      <c r="E47">
        <f t="shared" si="7"/>
        <v>3.558089741781949</v>
      </c>
      <c r="F47">
        <f t="shared" si="2"/>
        <v>35.096090474728022</v>
      </c>
      <c r="G47">
        <f t="shared" si="3"/>
        <v>0.52455365511452756</v>
      </c>
      <c r="H47">
        <f t="shared" si="4"/>
        <v>5.1222592798056401E-3</v>
      </c>
      <c r="I47">
        <f t="shared" si="5"/>
        <v>2.5722692769036934E-3</v>
      </c>
      <c r="S47" t="s">
        <v>495</v>
      </c>
    </row>
    <row r="48" spans="1:19" x14ac:dyDescent="0.25">
      <c r="A48" t="s">
        <v>276</v>
      </c>
      <c r="B48">
        <v>35.751732829237497</v>
      </c>
      <c r="C48">
        <v>46</v>
      </c>
      <c r="D48">
        <f t="shared" si="6"/>
        <v>3.5765987387132498</v>
      </c>
      <c r="E48">
        <f t="shared" si="7"/>
        <v>3.559229461873501</v>
      </c>
      <c r="F48">
        <f t="shared" si="2"/>
        <v>35.136112997081099</v>
      </c>
      <c r="G48">
        <f t="shared" si="3"/>
        <v>0.37898777774427128</v>
      </c>
      <c r="H48">
        <f t="shared" si="4"/>
        <v>1.0373905090470073E-3</v>
      </c>
      <c r="I48">
        <f t="shared" si="5"/>
        <v>2.4579606308400377E-3</v>
      </c>
      <c r="S48" t="s">
        <v>496</v>
      </c>
    </row>
    <row r="49" spans="1:19" x14ac:dyDescent="0.25">
      <c r="A49" t="s">
        <v>277</v>
      </c>
      <c r="B49">
        <v>40.597373188405797</v>
      </c>
      <c r="C49">
        <v>47</v>
      </c>
      <c r="D49">
        <f t="shared" si="6"/>
        <v>3.7037033647216044</v>
      </c>
      <c r="E49">
        <f t="shared" si="7"/>
        <v>3.5603691819650525</v>
      </c>
      <c r="F49">
        <f t="shared" si="2"/>
        <v>35.176181159910755</v>
      </c>
      <c r="G49">
        <f t="shared" si="3"/>
        <v>29.389323009818192</v>
      </c>
      <c r="H49">
        <f t="shared" si="4"/>
        <v>9.005265784066286E-3</v>
      </c>
      <c r="I49">
        <f t="shared" si="5"/>
        <v>2.3462499085505992E-3</v>
      </c>
      <c r="S49" t="s">
        <v>497</v>
      </c>
    </row>
    <row r="50" spans="1:19" x14ac:dyDescent="0.25">
      <c r="A50" t="s">
        <v>278</v>
      </c>
      <c r="B50">
        <v>36.948251417769299</v>
      </c>
      <c r="C50">
        <v>48</v>
      </c>
      <c r="D50">
        <f t="shared" si="6"/>
        <v>3.6095183233453332</v>
      </c>
      <c r="E50">
        <f t="shared" si="7"/>
        <v>3.5615089020566044</v>
      </c>
      <c r="F50">
        <f t="shared" si="2"/>
        <v>35.216295015264024</v>
      </c>
      <c r="G50">
        <f t="shared" si="3"/>
        <v>2.9996729801790161</v>
      </c>
      <c r="H50">
        <f t="shared" si="4"/>
        <v>5.0557431123174966E-7</v>
      </c>
      <c r="I50">
        <f t="shared" si="5"/>
        <v>2.2371371100352909E-3</v>
      </c>
      <c r="S50" t="s">
        <v>498</v>
      </c>
    </row>
    <row r="51" spans="1:19" x14ac:dyDescent="0.25">
      <c r="A51" t="s">
        <v>279</v>
      </c>
      <c r="B51">
        <v>35.897727272727302</v>
      </c>
      <c r="C51">
        <v>49</v>
      </c>
      <c r="D51">
        <f t="shared" si="6"/>
        <v>3.5806739863238795</v>
      </c>
      <c r="E51">
        <f t="shared" si="7"/>
        <v>3.5626486221481564</v>
      </c>
      <c r="F51">
        <f t="shared" si="2"/>
        <v>35.256454615247272</v>
      </c>
      <c r="G51">
        <f t="shared" si="3"/>
        <v>0.41123062123150023</v>
      </c>
      <c r="H51">
        <f t="shared" si="4"/>
        <v>7.9148254256423099E-4</v>
      </c>
      <c r="I51">
        <f t="shared" si="5"/>
        <v>2.130622235294157E-3</v>
      </c>
      <c r="R51">
        <v>2015</v>
      </c>
      <c r="S51" t="s">
        <v>487</v>
      </c>
    </row>
    <row r="52" spans="1:19" x14ac:dyDescent="0.25">
      <c r="A52" t="s">
        <v>280</v>
      </c>
      <c r="B52">
        <v>38.1875</v>
      </c>
      <c r="C52">
        <v>50</v>
      </c>
      <c r="D52">
        <f t="shared" si="6"/>
        <v>3.642508236931814</v>
      </c>
      <c r="E52">
        <f t="shared" si="7"/>
        <v>3.5637883422397079</v>
      </c>
      <c r="F52">
        <f t="shared" si="2"/>
        <v>35.296660012026294</v>
      </c>
      <c r="G52">
        <f t="shared" si="3"/>
        <v>8.3569558360678169</v>
      </c>
      <c r="H52">
        <f t="shared" si="4"/>
        <v>1.1357541034141506E-3</v>
      </c>
      <c r="I52">
        <f t="shared" si="5"/>
        <v>2.0267052843272377E-3</v>
      </c>
      <c r="S52" t="s">
        <v>488</v>
      </c>
    </row>
    <row r="53" spans="1:19" x14ac:dyDescent="0.25">
      <c r="A53" t="s">
        <v>281</v>
      </c>
      <c r="B53">
        <v>39.318181818181799</v>
      </c>
      <c r="C53">
        <v>51</v>
      </c>
      <c r="D53">
        <f t="shared" si="6"/>
        <v>3.6716870535735628</v>
      </c>
      <c r="E53">
        <f t="shared" si="7"/>
        <v>3.5649280623312598</v>
      </c>
      <c r="F53">
        <f t="shared" si="2"/>
        <v>35.33691125782638</v>
      </c>
      <c r="G53">
        <f t="shared" si="3"/>
        <v>15.850515274752754</v>
      </c>
      <c r="H53">
        <f t="shared" si="4"/>
        <v>3.9538651882141734E-3</v>
      </c>
      <c r="I53">
        <f t="shared" si="5"/>
        <v>1.9253862571344516E-3</v>
      </c>
      <c r="S53" t="s">
        <v>489</v>
      </c>
    </row>
    <row r="54" spans="1:19" x14ac:dyDescent="0.25">
      <c r="A54" t="s">
        <v>282</v>
      </c>
      <c r="B54">
        <v>38.840909090909101</v>
      </c>
      <c r="C54">
        <v>52</v>
      </c>
      <c r="D54">
        <f t="shared" si="6"/>
        <v>3.6594740491973301</v>
      </c>
      <c r="E54">
        <f t="shared" si="7"/>
        <v>3.5660677824228117</v>
      </c>
      <c r="F54">
        <f t="shared" si="2"/>
        <v>35.377208404932361</v>
      </c>
      <c r="G54">
        <f t="shared" si="3"/>
        <v>11.997222442035737</v>
      </c>
      <c r="H54">
        <f t="shared" si="4"/>
        <v>2.5671209074859614E-3</v>
      </c>
      <c r="I54">
        <f t="shared" si="5"/>
        <v>1.8266651537158399E-3</v>
      </c>
      <c r="S54" t="s">
        <v>490</v>
      </c>
    </row>
    <row r="55" spans="1:19" x14ac:dyDescent="0.25">
      <c r="A55" t="s">
        <v>283</v>
      </c>
      <c r="B55">
        <v>35.690476190476197</v>
      </c>
      <c r="C55">
        <v>53</v>
      </c>
      <c r="D55">
        <f t="shared" si="6"/>
        <v>3.5748838798192297</v>
      </c>
      <c r="E55">
        <f t="shared" si="7"/>
        <v>3.5672075025143632</v>
      </c>
      <c r="F55">
        <f t="shared" si="2"/>
        <v>35.417551505688714</v>
      </c>
      <c r="G55">
        <f t="shared" si="3"/>
        <v>7.4487883566347141E-2</v>
      </c>
      <c r="H55">
        <f t="shared" si="4"/>
        <v>1.1507974771358435E-3</v>
      </c>
      <c r="I55">
        <f t="shared" si="5"/>
        <v>1.7305419740714393E-3</v>
      </c>
      <c r="S55" t="s">
        <v>491</v>
      </c>
    </row>
    <row r="56" spans="1:19" x14ac:dyDescent="0.25">
      <c r="A56" t="s">
        <v>284</v>
      </c>
      <c r="B56">
        <v>36.045454545454497</v>
      </c>
      <c r="C56">
        <v>54</v>
      </c>
      <c r="D56">
        <f t="shared" si="6"/>
        <v>3.5847807682765307</v>
      </c>
      <c r="E56">
        <f t="shared" si="7"/>
        <v>3.5683472226059152</v>
      </c>
      <c r="F56">
        <f t="shared" si="2"/>
        <v>35.457940612499577</v>
      </c>
      <c r="G56">
        <f t="shared" si="3"/>
        <v>0.34517262141615818</v>
      </c>
      <c r="H56">
        <f t="shared" si="4"/>
        <v>5.7727354699673285E-4</v>
      </c>
      <c r="I56">
        <f t="shared" si="5"/>
        <v>1.6370167182011752E-3</v>
      </c>
      <c r="S56" t="s">
        <v>492</v>
      </c>
    </row>
    <row r="57" spans="1:19" x14ac:dyDescent="0.25">
      <c r="A57" t="s">
        <v>285</v>
      </c>
      <c r="B57">
        <v>36.2826086956522</v>
      </c>
      <c r="C57">
        <v>55</v>
      </c>
      <c r="D57">
        <f t="shared" si="6"/>
        <v>3.5913385271727409</v>
      </c>
      <c r="E57">
        <f t="shared" si="7"/>
        <v>3.5694869426974671</v>
      </c>
      <c r="F57">
        <f t="shared" si="2"/>
        <v>35.498375777828883</v>
      </c>
      <c r="G57">
        <f t="shared" si="3"/>
        <v>0.61502126939767376</v>
      </c>
      <c r="H57">
        <f t="shared" si="4"/>
        <v>3.0515752993407364E-4</v>
      </c>
      <c r="I57">
        <f t="shared" si="5"/>
        <v>1.5460893861050855E-3</v>
      </c>
      <c r="S57" t="s">
        <v>493</v>
      </c>
    </row>
    <row r="58" spans="1:19" x14ac:dyDescent="0.25">
      <c r="A58" t="s">
        <v>286</v>
      </c>
      <c r="B58">
        <v>36.095238095238102</v>
      </c>
      <c r="C58">
        <v>56</v>
      </c>
      <c r="D58">
        <f t="shared" si="6"/>
        <v>3.5861609479189487</v>
      </c>
      <c r="E58">
        <f t="shared" si="7"/>
        <v>3.5706266627890191</v>
      </c>
      <c r="F58">
        <f t="shared" si="2"/>
        <v>35.538857054200363</v>
      </c>
      <c r="G58">
        <f t="shared" si="3"/>
        <v>0.30955986282623771</v>
      </c>
      <c r="H58">
        <f t="shared" si="4"/>
        <v>5.1285662195930427E-4</v>
      </c>
      <c r="I58">
        <f t="shared" si="5"/>
        <v>1.4577599777831698E-3</v>
      </c>
      <c r="S58" t="s">
        <v>531</v>
      </c>
    </row>
    <row r="59" spans="1:19" x14ac:dyDescent="0.25">
      <c r="A59" t="s">
        <v>287</v>
      </c>
      <c r="B59">
        <v>37.056818181818201</v>
      </c>
      <c r="C59">
        <v>57</v>
      </c>
      <c r="D59">
        <f t="shared" si="6"/>
        <v>3.6124523613111132</v>
      </c>
      <c r="E59">
        <f t="shared" si="7"/>
        <v>3.5717663828805706</v>
      </c>
      <c r="F59">
        <f t="shared" si="2"/>
        <v>35.579384494197669</v>
      </c>
      <c r="G59">
        <f t="shared" si="3"/>
        <v>2.1828103013160054</v>
      </c>
      <c r="H59">
        <f t="shared" si="4"/>
        <v>1.3286575073440942E-5</v>
      </c>
      <c r="I59">
        <f t="shared" si="5"/>
        <v>1.3720284932354618E-3</v>
      </c>
      <c r="S59" t="s">
        <v>495</v>
      </c>
    </row>
    <row r="60" spans="1:19" x14ac:dyDescent="0.25">
      <c r="A60" t="s">
        <v>288</v>
      </c>
      <c r="B60">
        <v>37.238636363636402</v>
      </c>
      <c r="C60">
        <v>58</v>
      </c>
      <c r="D60">
        <f t="shared" si="6"/>
        <v>3.617346834220609</v>
      </c>
      <c r="E60">
        <f t="shared" si="7"/>
        <v>3.5729061029721225</v>
      </c>
      <c r="F60">
        <f t="shared" si="2"/>
        <v>35.619958150464406</v>
      </c>
      <c r="G60">
        <f t="shared" si="3"/>
        <v>2.6201191577976877</v>
      </c>
      <c r="H60">
        <f t="shared" si="4"/>
        <v>7.292388627143018E-5</v>
      </c>
      <c r="I60">
        <f t="shared" si="5"/>
        <v>1.288894932461894E-3</v>
      </c>
      <c r="S60" t="s">
        <v>496</v>
      </c>
    </row>
    <row r="61" spans="1:19" x14ac:dyDescent="0.25">
      <c r="A61" t="s">
        <v>289</v>
      </c>
      <c r="B61">
        <v>35.964285714285701</v>
      </c>
      <c r="C61">
        <v>59</v>
      </c>
      <c r="D61">
        <f t="shared" si="6"/>
        <v>3.582526382543358</v>
      </c>
      <c r="E61">
        <f t="shared" si="7"/>
        <v>3.574045823063674</v>
      </c>
      <c r="F61">
        <f t="shared" si="2"/>
        <v>35.660578075704201</v>
      </c>
      <c r="G61">
        <f t="shared" si="3"/>
        <v>9.2238329732750937E-2</v>
      </c>
      <c r="H61">
        <f t="shared" si="4"/>
        <v>6.9068587892864093E-4</v>
      </c>
      <c r="I61">
        <f t="shared" si="5"/>
        <v>1.2083592954625314E-3</v>
      </c>
      <c r="S61" t="s">
        <v>497</v>
      </c>
    </row>
    <row r="62" spans="1:19" x14ac:dyDescent="0.25">
      <c r="A62" t="s">
        <v>290</v>
      </c>
      <c r="B62">
        <v>35.163043478260903</v>
      </c>
      <c r="C62">
        <v>60</v>
      </c>
      <c r="D62">
        <f t="shared" si="6"/>
        <v>3.5599956298859614</v>
      </c>
      <c r="E62">
        <f t="shared" si="7"/>
        <v>3.575185543155226</v>
      </c>
      <c r="F62">
        <f t="shared" si="2"/>
        <v>35.701244322680807</v>
      </c>
      <c r="G62">
        <f t="shared" si="3"/>
        <v>0.2896601489342982</v>
      </c>
      <c r="H62">
        <f t="shared" si="4"/>
        <v>2.3825777585377802E-3</v>
      </c>
      <c r="I62">
        <f t="shared" si="5"/>
        <v>1.1304215822373113E-3</v>
      </c>
      <c r="S62" t="s">
        <v>498</v>
      </c>
    </row>
    <row r="63" spans="1:19" x14ac:dyDescent="0.25">
      <c r="A63" t="s">
        <v>291</v>
      </c>
      <c r="B63">
        <v>34.690476190476197</v>
      </c>
      <c r="C63">
        <v>61</v>
      </c>
      <c r="D63">
        <f t="shared" si="6"/>
        <v>3.5464651879118367</v>
      </c>
      <c r="E63">
        <f t="shared" si="7"/>
        <v>3.5763252632467779</v>
      </c>
      <c r="F63">
        <f t="shared" si="2"/>
        <v>35.741956944218124</v>
      </c>
      <c r="G63">
        <f t="shared" si="3"/>
        <v>1.1056117754896915</v>
      </c>
      <c r="H63">
        <f t="shared" si="4"/>
        <v>3.886537176080126E-3</v>
      </c>
      <c r="I63">
        <f t="shared" si="5"/>
        <v>1.0550817927862655E-3</v>
      </c>
      <c r="R63">
        <v>2016</v>
      </c>
      <c r="S63" t="s">
        <v>487</v>
      </c>
    </row>
    <row r="64" spans="1:19" x14ac:dyDescent="0.25">
      <c r="A64" t="s">
        <v>292</v>
      </c>
      <c r="B64">
        <v>34.007142857142902</v>
      </c>
      <c r="C64">
        <v>62</v>
      </c>
      <c r="D64">
        <f t="shared" si="6"/>
        <v>3.5265705865852159</v>
      </c>
      <c r="E64">
        <f t="shared" si="7"/>
        <v>3.5774649833383299</v>
      </c>
      <c r="F64">
        <f t="shared" si="2"/>
        <v>35.782715993200306</v>
      </c>
      <c r="G64">
        <f t="shared" si="3"/>
        <v>3.1526599614887214</v>
      </c>
      <c r="H64">
        <f t="shared" si="4"/>
        <v>6.7628747069540095E-3</v>
      </c>
      <c r="I64">
        <f t="shared" si="5"/>
        <v>9.8233992710939407E-4</v>
      </c>
      <c r="S64" t="s">
        <v>488</v>
      </c>
    </row>
    <row r="65" spans="1:19" x14ac:dyDescent="0.25">
      <c r="A65" t="s">
        <v>293</v>
      </c>
      <c r="B65">
        <v>30.1065217391304</v>
      </c>
      <c r="C65">
        <v>63</v>
      </c>
      <c r="D65">
        <f t="shared" si="6"/>
        <v>3.404741817359576</v>
      </c>
      <c r="E65">
        <f t="shared" si="7"/>
        <v>3.5786047034298814</v>
      </c>
      <c r="F65">
        <f t="shared" si="2"/>
        <v>35.823521522571816</v>
      </c>
      <c r="G65">
        <f t="shared" si="3"/>
        <v>32.684086523869198</v>
      </c>
      <c r="H65">
        <f t="shared" si="4"/>
        <v>4.1642715432666573E-2</v>
      </c>
      <c r="I65">
        <f t="shared" si="5"/>
        <v>9.121959852067239E-4</v>
      </c>
      <c r="S65" t="s">
        <v>489</v>
      </c>
    </row>
    <row r="66" spans="1:19" x14ac:dyDescent="0.25">
      <c r="A66" t="s">
        <v>294</v>
      </c>
      <c r="B66">
        <v>27.816666666666698</v>
      </c>
      <c r="C66">
        <v>64</v>
      </c>
      <c r="D66">
        <f t="shared" si="6"/>
        <v>3.3256353614397356</v>
      </c>
      <c r="E66">
        <f t="shared" si="7"/>
        <v>3.5797444235214333</v>
      </c>
      <c r="F66">
        <f t="shared" si="2"/>
        <v>35.864373585337482</v>
      </c>
      <c r="G66">
        <f t="shared" si="3"/>
        <v>64.765586648821596</v>
      </c>
      <c r="H66">
        <f t="shared" si="4"/>
        <v>8.0186338777612748E-2</v>
      </c>
      <c r="I66">
        <f t="shared" si="5"/>
        <v>8.4464996707820012E-4</v>
      </c>
      <c r="S66" t="s">
        <v>490</v>
      </c>
    </row>
    <row r="67" spans="1:19" x14ac:dyDescent="0.25">
      <c r="A67" t="s">
        <v>295</v>
      </c>
      <c r="B67">
        <v>27.954545454545499</v>
      </c>
      <c r="C67">
        <v>65</v>
      </c>
      <c r="D67">
        <f t="shared" ref="D67:D98" si="8">LN(B67)</f>
        <v>3.3305798144482037</v>
      </c>
      <c r="E67">
        <f t="shared" ref="E67:E98" si="9">SLOPE($D$3:$D$182,$C$3:$C$182)*$C67+INTERCEPT($D$3:$D$182,$C$3:$C$182)</f>
        <v>3.5808841436129848</v>
      </c>
      <c r="F67">
        <f t="shared" si="2"/>
        <v>35.905272234562581</v>
      </c>
      <c r="G67">
        <f t="shared" si="3"/>
        <v>63.214056330480787</v>
      </c>
      <c r="H67">
        <f t="shared" si="4"/>
        <v>7.741052584597824E-2</v>
      </c>
      <c r="I67">
        <f t="shared" si="5"/>
        <v>7.7970187272387553E-4</v>
      </c>
      <c r="S67" t="s">
        <v>491</v>
      </c>
    </row>
    <row r="68" spans="1:19" x14ac:dyDescent="0.25">
      <c r="A68" t="s">
        <v>296</v>
      </c>
      <c r="B68">
        <v>27.352272727272702</v>
      </c>
      <c r="C68">
        <v>66</v>
      </c>
      <c r="D68">
        <f t="shared" si="8"/>
        <v>3.3087996233048647</v>
      </c>
      <c r="E68">
        <f t="shared" si="9"/>
        <v>3.5820238637045367</v>
      </c>
      <c r="F68">
        <f t="shared" ref="F68:F131" si="10">EXP(SLOPE($D$3:$D$182,$C$3:$C$182)*$C68)*EXP(INTERCEPT($D$3:$D$182,$C$3:$C$182))</f>
        <v>35.946217523372908</v>
      </c>
      <c r="G68">
        <f t="shared" ref="G68:G131" si="11">(F68-B68)^2</f>
        <v>73.855887158417829</v>
      </c>
      <c r="H68">
        <f t="shared" ref="H68:I131" si="12">(D68-AVERAGE($D$3:$D$182))^2</f>
        <v>9.0004597589398203E-2</v>
      </c>
      <c r="I68">
        <f t="shared" si="12"/>
        <v>7.1735170214369949E-4</v>
      </c>
      <c r="S68" t="s">
        <v>492</v>
      </c>
    </row>
    <row r="69" spans="1:19" x14ac:dyDescent="0.25">
      <c r="A69" t="s">
        <v>297</v>
      </c>
      <c r="B69">
        <v>25.845238095238098</v>
      </c>
      <c r="C69">
        <v>67</v>
      </c>
      <c r="D69">
        <f t="shared" si="8"/>
        <v>3.2521263710349784</v>
      </c>
      <c r="E69">
        <f t="shared" si="9"/>
        <v>3.5831635837960887</v>
      </c>
      <c r="F69">
        <f t="shared" si="10"/>
        <v>35.987209504954841</v>
      </c>
      <c r="G69">
        <f t="shared" si="11"/>
        <v>102.8595840755118</v>
      </c>
      <c r="H69">
        <f t="shared" si="12"/>
        <v>0.12722127499756364</v>
      </c>
      <c r="I69">
        <f t="shared" si="12"/>
        <v>6.5759945533769781E-4</v>
      </c>
      <c r="S69" t="s">
        <v>493</v>
      </c>
    </row>
    <row r="70" spans="1:19" x14ac:dyDescent="0.25">
      <c r="A70" t="s">
        <v>298</v>
      </c>
      <c r="B70">
        <v>25.902173913043502</v>
      </c>
      <c r="C70">
        <v>68</v>
      </c>
      <c r="D70">
        <f t="shared" si="8"/>
        <v>3.2543269000497026</v>
      </c>
      <c r="E70">
        <f t="shared" si="9"/>
        <v>3.5843033038876406</v>
      </c>
      <c r="F70">
        <f t="shared" si="10"/>
        <v>36.028248232555399</v>
      </c>
      <c r="G70">
        <f t="shared" si="11"/>
        <v>102.53738112427833</v>
      </c>
      <c r="H70">
        <f t="shared" si="12"/>
        <v>0.12565634392138419</v>
      </c>
      <c r="I70">
        <f t="shared" si="12"/>
        <v>6.0044513230587038E-4</v>
      </c>
      <c r="S70" t="s">
        <v>531</v>
      </c>
    </row>
    <row r="71" spans="1:19" x14ac:dyDescent="0.25">
      <c r="A71" t="s">
        <v>299</v>
      </c>
      <c r="B71">
        <v>24.875</v>
      </c>
      <c r="C71">
        <v>69</v>
      </c>
      <c r="D71">
        <f t="shared" si="8"/>
        <v>3.2138632830446565</v>
      </c>
      <c r="E71">
        <f t="shared" si="9"/>
        <v>3.5854430239791921</v>
      </c>
      <c r="F71">
        <f t="shared" si="10"/>
        <v>36.069333759482333</v>
      </c>
      <c r="G71">
        <f t="shared" si="11"/>
        <v>125.31310831868588</v>
      </c>
      <c r="H71">
        <f t="shared" si="12"/>
        <v>0.15598076535664954</v>
      </c>
      <c r="I71">
        <f t="shared" si="12"/>
        <v>5.4588873304823801E-4</v>
      </c>
      <c r="S71" t="s">
        <v>495</v>
      </c>
    </row>
    <row r="72" spans="1:19" x14ac:dyDescent="0.25">
      <c r="A72" t="s">
        <v>300</v>
      </c>
      <c r="B72">
        <v>21.488095238095202</v>
      </c>
      <c r="C72">
        <v>70</v>
      </c>
      <c r="D72">
        <f t="shared" si="8"/>
        <v>3.0674990719236659</v>
      </c>
      <c r="E72">
        <f t="shared" si="9"/>
        <v>3.5865827440707441</v>
      </c>
      <c r="F72">
        <f t="shared" si="10"/>
        <v>36.110466139104183</v>
      </c>
      <c r="G72">
        <f t="shared" si="11"/>
        <v>213.81373076667421</v>
      </c>
      <c r="H72">
        <f t="shared" si="12"/>
        <v>0.29301458247061779</v>
      </c>
      <c r="I72">
        <f t="shared" si="12"/>
        <v>4.9393025756475832E-4</v>
      </c>
      <c r="S72" t="s">
        <v>496</v>
      </c>
    </row>
    <row r="73" spans="1:19" x14ac:dyDescent="0.25">
      <c r="A73" t="s">
        <v>301</v>
      </c>
      <c r="B73">
        <v>18.568181818181799</v>
      </c>
      <c r="C73">
        <v>71</v>
      </c>
      <c r="D73">
        <f t="shared" si="8"/>
        <v>2.9214494609417407</v>
      </c>
      <c r="E73">
        <f t="shared" si="9"/>
        <v>3.587722464162296</v>
      </c>
      <c r="F73">
        <f t="shared" si="10"/>
        <v>36.151645424850358</v>
      </c>
      <c r="G73">
        <f t="shared" si="11"/>
        <v>309.17819240703767</v>
      </c>
      <c r="H73">
        <f t="shared" si="12"/>
        <v>0.47246077947086679</v>
      </c>
      <c r="I73">
        <f t="shared" si="12"/>
        <v>4.4456970585545294E-4</v>
      </c>
      <c r="S73" t="s">
        <v>497</v>
      </c>
    </row>
    <row r="74" spans="1:19" x14ac:dyDescent="0.25">
      <c r="A74" t="s">
        <v>302</v>
      </c>
      <c r="B74">
        <v>19.215909090909101</v>
      </c>
      <c r="C74">
        <v>72</v>
      </c>
      <c r="D74">
        <f t="shared" si="8"/>
        <v>2.9557385344203744</v>
      </c>
      <c r="E74">
        <f t="shared" si="9"/>
        <v>3.5888621842538475</v>
      </c>
      <c r="F74">
        <f t="shared" si="10"/>
        <v>36.192871670211176</v>
      </c>
      <c r="G74">
        <f t="shared" si="11"/>
        <v>288.21725841902298</v>
      </c>
      <c r="H74">
        <f t="shared" si="12"/>
        <v>0.426498794101692</v>
      </c>
      <c r="I74">
        <f t="shared" si="12"/>
        <v>3.9780707792033964E-4</v>
      </c>
      <c r="S74" t="s">
        <v>498</v>
      </c>
    </row>
    <row r="75" spans="1:19" x14ac:dyDescent="0.25">
      <c r="A75" t="s">
        <v>303</v>
      </c>
      <c r="B75">
        <v>22.170454545454501</v>
      </c>
      <c r="C75">
        <v>73</v>
      </c>
      <c r="D75">
        <f t="shared" si="8"/>
        <v>3.0987605261449027</v>
      </c>
      <c r="E75">
        <f t="shared" si="9"/>
        <v>3.5900019043453995</v>
      </c>
      <c r="F75">
        <f t="shared" si="10"/>
        <v>36.234144928737962</v>
      </c>
      <c r="G75">
        <f t="shared" si="11"/>
        <v>197.7873871968597</v>
      </c>
      <c r="H75">
        <f t="shared" si="12"/>
        <v>0.26014769709179375</v>
      </c>
      <c r="I75">
        <f t="shared" si="12"/>
        <v>3.5364237375938188E-4</v>
      </c>
      <c r="R75">
        <v>2017</v>
      </c>
      <c r="S75" t="s">
        <v>487</v>
      </c>
    </row>
    <row r="76" spans="1:19" x14ac:dyDescent="0.25">
      <c r="A76" t="s">
        <v>304</v>
      </c>
      <c r="B76">
        <v>25.15</v>
      </c>
      <c r="C76">
        <v>74</v>
      </c>
      <c r="D76">
        <f t="shared" si="8"/>
        <v>3.2248578965457479</v>
      </c>
      <c r="E76">
        <f t="shared" si="9"/>
        <v>3.5911416244369514</v>
      </c>
      <c r="F76">
        <f t="shared" si="10"/>
        <v>36.275465254043127</v>
      </c>
      <c r="G76">
        <f t="shared" si="11"/>
        <v>123.77597711892092</v>
      </c>
      <c r="H76">
        <f t="shared" si="12"/>
        <v>0.14741713355171845</v>
      </c>
      <c r="I76">
        <f t="shared" si="12"/>
        <v>3.1207559337259854E-4</v>
      </c>
      <c r="S76" t="s">
        <v>488</v>
      </c>
    </row>
    <row r="77" spans="1:19" x14ac:dyDescent="0.25">
      <c r="A77" t="s">
        <v>305</v>
      </c>
      <c r="B77">
        <v>24.6413043478261</v>
      </c>
      <c r="C77">
        <v>75</v>
      </c>
      <c r="D77">
        <f t="shared" si="8"/>
        <v>3.204424073458489</v>
      </c>
      <c r="E77">
        <f t="shared" si="9"/>
        <v>3.5922813445285029</v>
      </c>
      <c r="F77">
        <f t="shared" si="10"/>
        <v>36.31683269980018</v>
      </c>
      <c r="G77">
        <f t="shared" si="11"/>
        <v>136.31796229775057</v>
      </c>
      <c r="H77">
        <f t="shared" si="12"/>
        <v>0.16352578246893359</v>
      </c>
      <c r="I77">
        <f t="shared" si="12"/>
        <v>2.7310673676000414E-4</v>
      </c>
      <c r="S77" t="s">
        <v>489</v>
      </c>
    </row>
    <row r="78" spans="1:19" x14ac:dyDescent="0.25">
      <c r="A78" t="s">
        <v>306</v>
      </c>
      <c r="B78">
        <v>23.25</v>
      </c>
      <c r="C78">
        <v>76</v>
      </c>
      <c r="D78">
        <f t="shared" si="8"/>
        <v>3.1463051320333655</v>
      </c>
      <c r="E78">
        <f t="shared" si="9"/>
        <v>3.5934210646200548</v>
      </c>
      <c r="F78">
        <f t="shared" si="10"/>
        <v>36.358247319743882</v>
      </c>
      <c r="G78">
        <f t="shared" si="11"/>
        <v>171.82614779557267</v>
      </c>
      <c r="H78">
        <f t="shared" si="12"/>
        <v>0.21390824229057945</v>
      </c>
      <c r="I78">
        <f t="shared" si="12"/>
        <v>2.3673580392156846E-4</v>
      </c>
      <c r="S78" t="s">
        <v>490</v>
      </c>
    </row>
    <row r="79" spans="1:19" x14ac:dyDescent="0.25">
      <c r="A79" t="s">
        <v>307</v>
      </c>
      <c r="B79">
        <v>21.6413043478261</v>
      </c>
      <c r="C79">
        <v>77</v>
      </c>
      <c r="D79">
        <f t="shared" si="8"/>
        <v>3.0746037270151567</v>
      </c>
      <c r="E79">
        <f t="shared" si="9"/>
        <v>3.5945607847116068</v>
      </c>
      <c r="F79">
        <f t="shared" si="10"/>
        <v>36.399709167670252</v>
      </c>
      <c r="G79">
        <f t="shared" si="11"/>
        <v>217.8105128263991</v>
      </c>
      <c r="H79">
        <f t="shared" si="12"/>
        <v>0.28537344227822642</v>
      </c>
      <c r="I79">
        <f t="shared" si="12"/>
        <v>2.0296279485730709E-4</v>
      </c>
      <c r="S79" t="s">
        <v>491</v>
      </c>
    </row>
    <row r="80" spans="1:19" x14ac:dyDescent="0.25">
      <c r="A80" t="s">
        <v>308</v>
      </c>
      <c r="B80">
        <v>19.75</v>
      </c>
      <c r="C80">
        <v>78</v>
      </c>
      <c r="D80">
        <f t="shared" si="8"/>
        <v>2.9831534913471307</v>
      </c>
      <c r="E80">
        <f t="shared" si="9"/>
        <v>3.5957005048031583</v>
      </c>
      <c r="F80">
        <f t="shared" si="10"/>
        <v>36.441218297436642</v>
      </c>
      <c r="G80">
        <f t="shared" si="11"/>
        <v>278.59676825268372</v>
      </c>
      <c r="H80">
        <f t="shared" si="12"/>
        <v>0.39144267058335125</v>
      </c>
      <c r="I80">
        <f t="shared" si="12"/>
        <v>1.717877095672317E-4</v>
      </c>
      <c r="S80" t="s">
        <v>492</v>
      </c>
    </row>
    <row r="81" spans="1:19" x14ac:dyDescent="0.25">
      <c r="A81" t="s">
        <v>309</v>
      </c>
      <c r="B81">
        <v>20.3642857142857</v>
      </c>
      <c r="C81">
        <v>79</v>
      </c>
      <c r="D81">
        <f t="shared" si="8"/>
        <v>3.0137826663033671</v>
      </c>
      <c r="E81">
        <f t="shared" si="9"/>
        <v>3.5968402248947102</v>
      </c>
      <c r="F81">
        <f t="shared" si="10"/>
        <v>36.482774762961846</v>
      </c>
      <c r="G81">
        <f t="shared" si="11"/>
        <v>259.80568921229286</v>
      </c>
      <c r="H81">
        <f t="shared" si="12"/>
        <v>0.35405429787376008</v>
      </c>
      <c r="I81">
        <f t="shared" si="12"/>
        <v>1.4321054805131801E-4</v>
      </c>
      <c r="S81" t="s">
        <v>493</v>
      </c>
    </row>
    <row r="82" spans="1:19" x14ac:dyDescent="0.25">
      <c r="A82" t="s">
        <v>310</v>
      </c>
      <c r="B82">
        <v>20.406521739130401</v>
      </c>
      <c r="C82">
        <v>80</v>
      </c>
      <c r="D82">
        <f t="shared" si="8"/>
        <v>3.0158545428538495</v>
      </c>
      <c r="E82">
        <f t="shared" si="9"/>
        <v>3.5979799449862622</v>
      </c>
      <c r="F82">
        <f t="shared" si="10"/>
        <v>36.524378618226137</v>
      </c>
      <c r="G82">
        <f t="shared" si="11"/>
        <v>259.78531037501375</v>
      </c>
      <c r="H82">
        <f t="shared" si="12"/>
        <v>0.35159295543377894</v>
      </c>
      <c r="I82">
        <f t="shared" si="12"/>
        <v>1.1723131030957865E-4</v>
      </c>
      <c r="S82" t="s">
        <v>531</v>
      </c>
    </row>
    <row r="83" spans="1:19" x14ac:dyDescent="0.25">
      <c r="A83" t="s">
        <v>311</v>
      </c>
      <c r="B83">
        <v>20.428571428571399</v>
      </c>
      <c r="C83">
        <v>81</v>
      </c>
      <c r="D83">
        <f t="shared" si="8"/>
        <v>3.0169344812045926</v>
      </c>
      <c r="E83">
        <f t="shared" si="9"/>
        <v>3.5991196650778137</v>
      </c>
      <c r="F83">
        <f t="shared" si="10"/>
        <v>36.566029917271329</v>
      </c>
      <c r="G83">
        <f t="shared" si="11"/>
        <v>260.41756647451348</v>
      </c>
      <c r="H83">
        <f t="shared" si="12"/>
        <v>0.3503134168859276</v>
      </c>
      <c r="I83">
        <f t="shared" si="12"/>
        <v>9.3849996342022248E-5</v>
      </c>
      <c r="S83" t="s">
        <v>495</v>
      </c>
    </row>
    <row r="84" spans="1:19" x14ac:dyDescent="0.25">
      <c r="A84" t="s">
        <v>312</v>
      </c>
      <c r="B84">
        <v>20.234090909090899</v>
      </c>
      <c r="C84">
        <v>82</v>
      </c>
      <c r="D84">
        <f t="shared" si="8"/>
        <v>3.0073688506613636</v>
      </c>
      <c r="E84">
        <f t="shared" si="9"/>
        <v>3.6002593851693656</v>
      </c>
      <c r="F84">
        <f t="shared" si="10"/>
        <v>36.607728714200896</v>
      </c>
      <c r="G84">
        <f t="shared" si="11"/>
        <v>268.09601497292732</v>
      </c>
      <c r="H84">
        <f t="shared" si="12"/>
        <v>0.36172819132937745</v>
      </c>
      <c r="I84">
        <f t="shared" si="12"/>
        <v>7.3066606148630551E-5</v>
      </c>
      <c r="S84" t="s">
        <v>496</v>
      </c>
    </row>
    <row r="85" spans="1:19" x14ac:dyDescent="0.25">
      <c r="A85" t="s">
        <v>313</v>
      </c>
      <c r="B85">
        <v>22.345454545454501</v>
      </c>
      <c r="C85">
        <v>83</v>
      </c>
      <c r="D85">
        <f t="shared" si="8"/>
        <v>3.1066229243335619</v>
      </c>
      <c r="E85">
        <f t="shared" si="9"/>
        <v>3.6013991052609176</v>
      </c>
      <c r="F85">
        <f t="shared" si="10"/>
        <v>36.649475063179977</v>
      </c>
      <c r="G85">
        <f t="shared" si="11"/>
        <v>204.6050029715114</v>
      </c>
      <c r="H85">
        <f t="shared" si="12"/>
        <v>0.25218913295770268</v>
      </c>
      <c r="I85">
        <f t="shared" si="12"/>
        <v>5.4881139729413206E-5</v>
      </c>
      <c r="S85" t="s">
        <v>497</v>
      </c>
    </row>
    <row r="86" spans="1:19" x14ac:dyDescent="0.25">
      <c r="A86" t="s">
        <v>314</v>
      </c>
      <c r="B86">
        <v>24.6904761904762</v>
      </c>
      <c r="C86">
        <v>84</v>
      </c>
      <c r="D86">
        <f t="shared" si="8"/>
        <v>3.2064175899461596</v>
      </c>
      <c r="E86">
        <f t="shared" si="9"/>
        <v>3.6025388253524691</v>
      </c>
      <c r="F86">
        <f t="shared" si="10"/>
        <v>36.691269018435506</v>
      </c>
      <c r="G86">
        <f t="shared" si="11"/>
        <v>144.0190284995995</v>
      </c>
      <c r="H86">
        <f t="shared" si="12"/>
        <v>0.16191746737441698</v>
      </c>
      <c r="I86">
        <f t="shared" si="12"/>
        <v>3.9293597084375769E-5</v>
      </c>
      <c r="S86" t="s">
        <v>498</v>
      </c>
    </row>
    <row r="87" spans="1:19" x14ac:dyDescent="0.25">
      <c r="A87" t="s">
        <v>315</v>
      </c>
      <c r="B87">
        <v>23.369565217391301</v>
      </c>
      <c r="C87">
        <v>85</v>
      </c>
      <c r="D87">
        <f t="shared" si="8"/>
        <v>3.1514345440726679</v>
      </c>
      <c r="E87">
        <f t="shared" si="9"/>
        <v>3.603678545444021</v>
      </c>
      <c r="F87">
        <f t="shared" si="10"/>
        <v>36.733110634256228</v>
      </c>
      <c r="G87">
        <f t="shared" si="11"/>
        <v>178.58434610861158</v>
      </c>
      <c r="H87">
        <f t="shared" si="12"/>
        <v>0.20918982492640614</v>
      </c>
      <c r="I87">
        <f t="shared" si="12"/>
        <v>2.6303978213506087E-5</v>
      </c>
      <c r="R87">
        <v>2018</v>
      </c>
      <c r="S87" t="s">
        <v>487</v>
      </c>
    </row>
    <row r="88" spans="1:19" x14ac:dyDescent="0.25">
      <c r="A88" t="s">
        <v>316</v>
      </c>
      <c r="B88">
        <v>21.762499999999999</v>
      </c>
      <c r="C88">
        <v>86</v>
      </c>
      <c r="D88">
        <f t="shared" si="8"/>
        <v>3.0801883050943073</v>
      </c>
      <c r="E88">
        <f t="shared" si="9"/>
        <v>3.6048182655355729</v>
      </c>
      <c r="F88">
        <f t="shared" si="10"/>
        <v>36.77499996499283</v>
      </c>
      <c r="G88">
        <f t="shared" si="11"/>
        <v>225.37515519890974</v>
      </c>
      <c r="H88">
        <f t="shared" si="12"/>
        <v>0.2794380268215349</v>
      </c>
      <c r="I88">
        <f t="shared" si="12"/>
        <v>1.591228311681075E-5</v>
      </c>
      <c r="S88" t="s">
        <v>488</v>
      </c>
    </row>
    <row r="89" spans="1:19" x14ac:dyDescent="0.25">
      <c r="A89" t="s">
        <v>317</v>
      </c>
      <c r="B89">
        <v>21.727272727272702</v>
      </c>
      <c r="C89">
        <v>87</v>
      </c>
      <c r="D89">
        <f t="shared" si="8"/>
        <v>3.078568279133139</v>
      </c>
      <c r="E89">
        <f t="shared" si="9"/>
        <v>3.6059579856271244</v>
      </c>
      <c r="F89">
        <f t="shared" si="10"/>
        <v>36.816937065057957</v>
      </c>
      <c r="G89">
        <f t="shared" si="11"/>
        <v>227.69796982702812</v>
      </c>
      <c r="H89">
        <f t="shared" si="12"/>
        <v>0.28115340425045032</v>
      </c>
      <c r="I89">
        <f t="shared" si="12"/>
        <v>8.1185117942922836E-6</v>
      </c>
      <c r="S89" t="s">
        <v>489</v>
      </c>
    </row>
    <row r="90" spans="1:19" x14ac:dyDescent="0.25">
      <c r="A90" t="s">
        <v>318</v>
      </c>
      <c r="B90">
        <v>20.845238095238098</v>
      </c>
      <c r="C90">
        <v>88</v>
      </c>
      <c r="D90">
        <f t="shared" si="8"/>
        <v>3.0371255334425382</v>
      </c>
      <c r="E90">
        <f t="shared" si="9"/>
        <v>3.6070977057186764</v>
      </c>
      <c r="F90">
        <f t="shared" si="10"/>
        <v>36.858921988926305</v>
      </c>
      <c r="G90">
        <f t="shared" si="11"/>
        <v>256.43807184696908</v>
      </c>
      <c r="H90">
        <f t="shared" si="12"/>
        <v>0.32682002604253102</v>
      </c>
      <c r="I90">
        <f t="shared" si="12"/>
        <v>2.9226642459446147E-6</v>
      </c>
      <c r="S90" t="s">
        <v>490</v>
      </c>
    </row>
    <row r="91" spans="1:19" x14ac:dyDescent="0.25">
      <c r="A91" t="s">
        <v>319</v>
      </c>
      <c r="B91">
        <v>21.978260869565201</v>
      </c>
      <c r="C91">
        <v>89</v>
      </c>
      <c r="D91">
        <f t="shared" si="8"/>
        <v>3.0900538225313756</v>
      </c>
      <c r="E91">
        <f t="shared" si="9"/>
        <v>3.6082374258102283</v>
      </c>
      <c r="F91">
        <f t="shared" si="10"/>
        <v>36.900954791134701</v>
      </c>
      <c r="G91">
        <f t="shared" si="11"/>
        <v>222.6867938768473</v>
      </c>
      <c r="H91">
        <f t="shared" si="12"/>
        <v>0.2691051557112964</v>
      </c>
      <c r="I91">
        <f t="shared" si="12"/>
        <v>3.2474047177128644E-7</v>
      </c>
      <c r="S91" t="s">
        <v>491</v>
      </c>
    </row>
    <row r="92" spans="1:19" x14ac:dyDescent="0.25">
      <c r="A92" t="s">
        <v>320</v>
      </c>
      <c r="B92">
        <v>23.071428571428601</v>
      </c>
      <c r="C92">
        <v>90</v>
      </c>
      <c r="D92">
        <f t="shared" si="8"/>
        <v>3.1385949936073994</v>
      </c>
      <c r="E92">
        <f t="shared" si="9"/>
        <v>3.6093771459017798</v>
      </c>
      <c r="F92">
        <f t="shared" si="10"/>
        <v>36.943035526282152</v>
      </c>
      <c r="G92">
        <f t="shared" si="11"/>
        <v>192.42147950994141</v>
      </c>
      <c r="H92">
        <f t="shared" si="12"/>
        <v>0.22109959978168706</v>
      </c>
      <c r="I92">
        <f t="shared" si="12"/>
        <v>3.2474047177179259E-7</v>
      </c>
      <c r="S92" t="s">
        <v>492</v>
      </c>
    </row>
    <row r="93" spans="1:19" x14ac:dyDescent="0.25">
      <c r="A93" t="s">
        <v>321</v>
      </c>
      <c r="B93">
        <v>23.4159090909091</v>
      </c>
      <c r="C93">
        <v>91</v>
      </c>
      <c r="D93">
        <f t="shared" si="8"/>
        <v>3.1534156670327618</v>
      </c>
      <c r="E93">
        <f t="shared" si="9"/>
        <v>3.6105168659933318</v>
      </c>
      <c r="F93">
        <f t="shared" si="10"/>
        <v>36.985164249029943</v>
      </c>
      <c r="G93">
        <f t="shared" si="11"/>
        <v>184.12468554618908</v>
      </c>
      <c r="H93">
        <f t="shared" si="12"/>
        <v>0.20738152649445302</v>
      </c>
      <c r="I93">
        <f t="shared" si="12"/>
        <v>2.922664245946133E-6</v>
      </c>
      <c r="S93" t="s">
        <v>493</v>
      </c>
    </row>
    <row r="94" spans="1:19" x14ac:dyDescent="0.25">
      <c r="A94" t="s">
        <v>322</v>
      </c>
      <c r="B94">
        <v>26.047826086956501</v>
      </c>
      <c r="C94">
        <v>92</v>
      </c>
      <c r="D94">
        <f t="shared" si="8"/>
        <v>3.2599343131607288</v>
      </c>
      <c r="E94">
        <f t="shared" si="9"/>
        <v>3.6116565860848837</v>
      </c>
      <c r="F94">
        <f t="shared" si="10"/>
        <v>37.027341014101673</v>
      </c>
      <c r="G94">
        <f t="shared" si="11"/>
        <v>120.54974803540364</v>
      </c>
      <c r="H94">
        <f t="shared" si="12"/>
        <v>0.12171235107723814</v>
      </c>
      <c r="I94">
        <f t="shared" si="12"/>
        <v>8.1185117942948146E-6</v>
      </c>
      <c r="S94" t="s">
        <v>531</v>
      </c>
    </row>
    <row r="95" spans="1:19" x14ac:dyDescent="0.25">
      <c r="A95" t="s">
        <v>323</v>
      </c>
      <c r="B95">
        <v>27.107500000000002</v>
      </c>
      <c r="C95">
        <v>93</v>
      </c>
      <c r="D95">
        <f t="shared" si="8"/>
        <v>3.2998104423641998</v>
      </c>
      <c r="E95">
        <f t="shared" si="9"/>
        <v>3.6127963061764352</v>
      </c>
      <c r="F95">
        <f t="shared" si="10"/>
        <v>37.06956587628337</v>
      </c>
      <c r="G95">
        <f t="shared" si="11"/>
        <v>99.242756523409511</v>
      </c>
      <c r="H95">
        <f t="shared" si="12"/>
        <v>9.5479049287898424E-2</v>
      </c>
      <c r="I95">
        <f t="shared" si="12"/>
        <v>1.5912283116814294E-5</v>
      </c>
      <c r="S95" t="s">
        <v>495</v>
      </c>
    </row>
    <row r="96" spans="1:19" x14ac:dyDescent="0.25">
      <c r="A96" t="s">
        <v>324</v>
      </c>
      <c r="B96">
        <v>27.508695652173898</v>
      </c>
      <c r="C96">
        <v>94</v>
      </c>
      <c r="D96">
        <f t="shared" si="8"/>
        <v>3.3145021602236886</v>
      </c>
      <c r="E96">
        <f t="shared" si="9"/>
        <v>3.6139360262679872</v>
      </c>
      <c r="F96">
        <f t="shared" si="10"/>
        <v>37.111838890423535</v>
      </c>
      <c r="G96">
        <f t="shared" si="11"/>
        <v>92.220360054339707</v>
      </c>
      <c r="H96">
        <f t="shared" si="12"/>
        <v>8.6615506973452869E-2</v>
      </c>
      <c r="I96">
        <f t="shared" si="12"/>
        <v>2.6303978213510644E-5</v>
      </c>
      <c r="S96" t="s">
        <v>496</v>
      </c>
    </row>
    <row r="97" spans="1:19" x14ac:dyDescent="0.25">
      <c r="A97" t="s">
        <v>325</v>
      </c>
      <c r="B97">
        <v>28.934090909090902</v>
      </c>
      <c r="C97">
        <v>95</v>
      </c>
      <c r="D97">
        <f t="shared" si="8"/>
        <v>3.3650205161493383</v>
      </c>
      <c r="E97">
        <f t="shared" si="9"/>
        <v>3.6150757463595391</v>
      </c>
      <c r="F97">
        <f t="shared" si="10"/>
        <v>37.154160111433185</v>
      </c>
      <c r="G97">
        <f t="shared" si="11"/>
        <v>67.569537691296105</v>
      </c>
      <c r="H97">
        <f t="shared" si="12"/>
        <v>5.9431989084010796E-2</v>
      </c>
      <c r="I97">
        <f t="shared" si="12"/>
        <v>3.9293597084381332E-5</v>
      </c>
      <c r="S97" t="s">
        <v>497</v>
      </c>
    </row>
    <row r="98" spans="1:19" x14ac:dyDescent="0.25">
      <c r="A98" t="s">
        <v>326</v>
      </c>
      <c r="B98">
        <v>28.761904761904798</v>
      </c>
      <c r="C98">
        <v>96</v>
      </c>
      <c r="D98">
        <f t="shared" si="8"/>
        <v>3.3590517602113934</v>
      </c>
      <c r="E98">
        <f t="shared" si="9"/>
        <v>3.6162154664510906</v>
      </c>
      <c r="F98">
        <f t="shared" si="10"/>
        <v>37.196529594285991</v>
      </c>
      <c r="G98">
        <f t="shared" si="11"/>
        <v>71.142896063021468</v>
      </c>
      <c r="H98">
        <f t="shared" si="12"/>
        <v>6.2377822590015668E-2</v>
      </c>
      <c r="I98">
        <f t="shared" si="12"/>
        <v>5.4881139729419785E-5</v>
      </c>
      <c r="S98" t="s">
        <v>498</v>
      </c>
    </row>
    <row r="99" spans="1:19" x14ac:dyDescent="0.25">
      <c r="A99" t="s">
        <v>327</v>
      </c>
      <c r="B99">
        <v>28.710869565217401</v>
      </c>
      <c r="C99">
        <v>97</v>
      </c>
      <c r="D99">
        <f t="shared" ref="D99:D130" si="13">LN(B99)</f>
        <v>3.3572757815606642</v>
      </c>
      <c r="E99">
        <f t="shared" ref="E99:E130" si="14">SLOPE($D$3:$D$182,$C$3:$C$182)*$C99+INTERCEPT($D$3:$D$182,$C$3:$C$182)</f>
        <v>3.6173551865426425</v>
      </c>
      <c r="F99">
        <f t="shared" si="10"/>
        <v>37.238947394018304</v>
      </c>
      <c r="G99">
        <f t="shared" si="11"/>
        <v>72.728111454085521</v>
      </c>
      <c r="H99">
        <f t="shared" si="12"/>
        <v>6.3268097653076477E-2</v>
      </c>
      <c r="I99">
        <f t="shared" si="12"/>
        <v>7.306660614863814E-5</v>
      </c>
      <c r="R99">
        <v>2019</v>
      </c>
      <c r="S99" t="s">
        <v>487</v>
      </c>
    </row>
    <row r="100" spans="1:19" x14ac:dyDescent="0.25">
      <c r="A100" t="s">
        <v>328</v>
      </c>
      <c r="B100">
        <v>28.645</v>
      </c>
      <c r="C100">
        <v>98</v>
      </c>
      <c r="D100">
        <f t="shared" si="13"/>
        <v>3.354978907860541</v>
      </c>
      <c r="E100">
        <f t="shared" si="14"/>
        <v>3.6184949066341945</v>
      </c>
      <c r="F100">
        <f t="shared" si="10"/>
        <v>37.281413565729238</v>
      </c>
      <c r="G100">
        <f t="shared" si="11"/>
        <v>74.587639278312025</v>
      </c>
      <c r="H100">
        <f t="shared" si="12"/>
        <v>6.4428845475807586E-2</v>
      </c>
      <c r="I100">
        <f t="shared" si="12"/>
        <v>9.384999634203084E-5</v>
      </c>
      <c r="S100" t="s">
        <v>488</v>
      </c>
    </row>
    <row r="101" spans="1:19" x14ac:dyDescent="0.25">
      <c r="A101" t="s">
        <v>329</v>
      </c>
      <c r="B101">
        <v>27.202380952380999</v>
      </c>
      <c r="C101">
        <v>99</v>
      </c>
      <c r="D101">
        <f t="shared" si="13"/>
        <v>3.3033045044849931</v>
      </c>
      <c r="E101">
        <f t="shared" si="14"/>
        <v>3.619634626725746</v>
      </c>
      <c r="F101">
        <f t="shared" si="10"/>
        <v>37.323928164580728</v>
      </c>
      <c r="G101">
        <f t="shared" si="11"/>
        <v>102.44571796878812</v>
      </c>
      <c r="H101">
        <f t="shared" si="12"/>
        <v>9.3331949425423583E-2</v>
      </c>
      <c r="I101">
        <f t="shared" si="12"/>
        <v>1.1723131030958828E-4</v>
      </c>
      <c r="S101" t="s">
        <v>489</v>
      </c>
    </row>
    <row r="102" spans="1:19" x14ac:dyDescent="0.25">
      <c r="A102" t="s">
        <v>330</v>
      </c>
      <c r="B102">
        <v>25.704545454545499</v>
      </c>
      <c r="C102">
        <v>100</v>
      </c>
      <c r="D102">
        <f t="shared" si="13"/>
        <v>3.2466678421978612</v>
      </c>
      <c r="E102">
        <f t="shared" si="14"/>
        <v>3.6207743468172979</v>
      </c>
      <c r="F102">
        <f t="shared" si="10"/>
        <v>37.366491245797633</v>
      </c>
      <c r="G102">
        <f t="shared" si="11"/>
        <v>136.00097963810336</v>
      </c>
      <c r="H102">
        <f t="shared" si="12"/>
        <v>0.13114497665302907</v>
      </c>
      <c r="I102">
        <f t="shared" si="12"/>
        <v>1.4321054805132864E-4</v>
      </c>
      <c r="S102" t="s">
        <v>490</v>
      </c>
    </row>
    <row r="103" spans="1:19" x14ac:dyDescent="0.25">
      <c r="A103" t="s">
        <v>331</v>
      </c>
      <c r="B103">
        <v>24.684782608695599</v>
      </c>
      <c r="C103">
        <v>101</v>
      </c>
      <c r="D103">
        <f t="shared" si="13"/>
        <v>3.2061869650565158</v>
      </c>
      <c r="E103">
        <f t="shared" si="14"/>
        <v>3.6219140669088499</v>
      </c>
      <c r="F103">
        <f t="shared" si="10"/>
        <v>37.409102864667766</v>
      </c>
      <c r="G103">
        <f t="shared" si="11"/>
        <v>161.90832597654358</v>
      </c>
      <c r="H103">
        <f t="shared" si="12"/>
        <v>0.16210312272068267</v>
      </c>
      <c r="I103">
        <f t="shared" si="12"/>
        <v>1.7178770956724335E-4</v>
      </c>
      <c r="S103" t="s">
        <v>491</v>
      </c>
    </row>
    <row r="104" spans="1:19" x14ac:dyDescent="0.25">
      <c r="A104" t="s">
        <v>332</v>
      </c>
      <c r="B104">
        <v>24.475000000000001</v>
      </c>
      <c r="C104">
        <v>102</v>
      </c>
      <c r="D104">
        <f t="shared" si="13"/>
        <v>3.1976521884165741</v>
      </c>
      <c r="E104">
        <f t="shared" si="14"/>
        <v>3.6230537870004014</v>
      </c>
      <c r="F104">
        <f t="shared" si="10"/>
        <v>37.451763076542015</v>
      </c>
      <c r="G104">
        <f t="shared" si="11"/>
        <v>168.39637994470414</v>
      </c>
      <c r="H104">
        <f t="shared" si="12"/>
        <v>0.16904851415042702</v>
      </c>
      <c r="I104">
        <f t="shared" si="12"/>
        <v>2.0296279485731975E-4</v>
      </c>
      <c r="S104" t="s">
        <v>492</v>
      </c>
    </row>
    <row r="105" spans="1:19" x14ac:dyDescent="0.25">
      <c r="A105" t="s">
        <v>333</v>
      </c>
      <c r="B105">
        <v>25.228260869565201</v>
      </c>
      <c r="C105">
        <v>103</v>
      </c>
      <c r="D105">
        <f t="shared" si="13"/>
        <v>3.227964829225396</v>
      </c>
      <c r="E105">
        <f t="shared" si="14"/>
        <v>3.6241935070919533</v>
      </c>
      <c r="F105">
        <f t="shared" si="10"/>
        <v>37.494471936834373</v>
      </c>
      <c r="G105">
        <f t="shared" si="11"/>
        <v>150.45993394679672</v>
      </c>
      <c r="H105">
        <f t="shared" si="12"/>
        <v>0.14504097677243646</v>
      </c>
      <c r="I105">
        <f t="shared" si="12"/>
        <v>2.3673580392158213E-4</v>
      </c>
      <c r="S105" t="s">
        <v>493</v>
      </c>
    </row>
    <row r="106" spans="1:19" x14ac:dyDescent="0.25">
      <c r="A106" t="s">
        <v>334</v>
      </c>
      <c r="B106">
        <v>25.284090909090899</v>
      </c>
      <c r="C106">
        <v>104</v>
      </c>
      <c r="D106">
        <f t="shared" si="13"/>
        <v>3.2301753801221338</v>
      </c>
      <c r="E106">
        <f t="shared" si="14"/>
        <v>3.6253332271835053</v>
      </c>
      <c r="F106">
        <f t="shared" si="10"/>
        <v>37.537229501022018</v>
      </c>
      <c r="G106">
        <f t="shared" si="11"/>
        <v>150.13940535307174</v>
      </c>
      <c r="H106">
        <f t="shared" si="12"/>
        <v>0.14336212003966226</v>
      </c>
      <c r="I106">
        <f t="shared" si="12"/>
        <v>2.7310673676001884E-4</v>
      </c>
      <c r="S106" t="s">
        <v>531</v>
      </c>
    </row>
    <row r="107" spans="1:19" x14ac:dyDescent="0.25">
      <c r="A107" t="s">
        <v>335</v>
      </c>
      <c r="B107">
        <v>25.4119047619048</v>
      </c>
      <c r="C107">
        <v>105</v>
      </c>
      <c r="D107">
        <f t="shared" si="13"/>
        <v>3.2352177556365525</v>
      </c>
      <c r="E107">
        <f t="shared" si="14"/>
        <v>3.6264729472750568</v>
      </c>
      <c r="F107">
        <f t="shared" si="10"/>
        <v>37.580035824645414</v>
      </c>
      <c r="G107">
        <f t="shared" si="11"/>
        <v>148.06341356003301</v>
      </c>
      <c r="H107">
        <f t="shared" si="12"/>
        <v>0.1395691370895904</v>
      </c>
      <c r="I107">
        <f t="shared" si="12"/>
        <v>3.1207559337261421E-4</v>
      </c>
      <c r="S107" t="s">
        <v>495</v>
      </c>
    </row>
    <row r="108" spans="1:19" x14ac:dyDescent="0.25">
      <c r="A108" t="s">
        <v>336</v>
      </c>
      <c r="B108">
        <v>24.917391304347799</v>
      </c>
      <c r="C108">
        <v>106</v>
      </c>
      <c r="D108">
        <f t="shared" si="13"/>
        <v>3.2155660056285411</v>
      </c>
      <c r="E108">
        <f t="shared" si="14"/>
        <v>3.6276126673666087</v>
      </c>
      <c r="F108">
        <f t="shared" si="10"/>
        <v>37.62289096330835</v>
      </c>
      <c r="G108">
        <f t="shared" si="11"/>
        <v>161.42972158384669</v>
      </c>
      <c r="H108">
        <f t="shared" si="12"/>
        <v>0.15463870447493389</v>
      </c>
      <c r="I108">
        <f t="shared" si="12"/>
        <v>3.5364237375939858E-4</v>
      </c>
      <c r="S108" t="s">
        <v>496</v>
      </c>
    </row>
    <row r="109" spans="1:19" x14ac:dyDescent="0.25">
      <c r="A109" t="s">
        <v>337</v>
      </c>
      <c r="B109">
        <v>24.988095238095202</v>
      </c>
      <c r="C109">
        <v>107</v>
      </c>
      <c r="D109">
        <f t="shared" si="13"/>
        <v>3.218399520977318</v>
      </c>
      <c r="E109">
        <f t="shared" si="14"/>
        <v>3.6287523874581606</v>
      </c>
      <c r="F109">
        <f t="shared" si="10"/>
        <v>37.665794972678015</v>
      </c>
      <c r="G109">
        <f t="shared" si="11"/>
        <v>160.72407056024113</v>
      </c>
      <c r="H109">
        <f t="shared" si="12"/>
        <v>0.15241822287757129</v>
      </c>
      <c r="I109">
        <f t="shared" si="12"/>
        <v>3.9780707792035731E-4</v>
      </c>
      <c r="S109" t="s">
        <v>497</v>
      </c>
    </row>
    <row r="110" spans="1:19" x14ac:dyDescent="0.25">
      <c r="A110" t="s">
        <v>338</v>
      </c>
      <c r="B110">
        <v>25.625</v>
      </c>
      <c r="C110">
        <v>108</v>
      </c>
      <c r="D110">
        <f t="shared" si="13"/>
        <v>3.2435684374585723</v>
      </c>
      <c r="E110">
        <f t="shared" si="14"/>
        <v>3.6298921075497121</v>
      </c>
      <c r="F110">
        <f t="shared" si="10"/>
        <v>37.708747908485094</v>
      </c>
      <c r="G110">
        <f t="shared" si="11"/>
        <v>146.01696351581788</v>
      </c>
      <c r="H110">
        <f t="shared" si="12"/>
        <v>0.13339941637868202</v>
      </c>
      <c r="I110">
        <f t="shared" si="12"/>
        <v>4.4456970585547169E-4</v>
      </c>
      <c r="S110" t="s">
        <v>498</v>
      </c>
    </row>
    <row r="111" spans="1:19" x14ac:dyDescent="0.25">
      <c r="A111" t="s">
        <v>339</v>
      </c>
      <c r="B111">
        <v>24.6413043478261</v>
      </c>
      <c r="C111">
        <v>109</v>
      </c>
      <c r="D111">
        <f t="shared" si="13"/>
        <v>3.204424073458489</v>
      </c>
      <c r="E111">
        <f t="shared" si="14"/>
        <v>3.6310318276412641</v>
      </c>
      <c r="F111">
        <f t="shared" si="10"/>
        <v>37.75174982652382</v>
      </c>
      <c r="G111">
        <f t="shared" si="11"/>
        <v>171.8837806499055</v>
      </c>
      <c r="H111">
        <f t="shared" si="12"/>
        <v>0.16352578246893359</v>
      </c>
      <c r="I111">
        <f t="shared" si="12"/>
        <v>4.9393025756477805E-4</v>
      </c>
      <c r="R111">
        <v>2020</v>
      </c>
      <c r="S111" t="s">
        <v>487</v>
      </c>
    </row>
    <row r="112" spans="1:19" x14ac:dyDescent="0.25">
      <c r="A112" t="s">
        <v>340</v>
      </c>
      <c r="B112">
        <v>24.6875</v>
      </c>
      <c r="C112">
        <v>110</v>
      </c>
      <c r="D112">
        <f t="shared" si="13"/>
        <v>3.2062970426613404</v>
      </c>
      <c r="E112">
        <f t="shared" si="14"/>
        <v>3.632171547732816</v>
      </c>
      <c r="F112">
        <f t="shared" si="10"/>
        <v>37.794800782652047</v>
      </c>
      <c r="G112">
        <f t="shared" si="11"/>
        <v>171.80133380691095</v>
      </c>
      <c r="H112">
        <f t="shared" si="12"/>
        <v>0.16201449587662711</v>
      </c>
      <c r="I112">
        <f t="shared" si="12"/>
        <v>5.4588873304825883E-4</v>
      </c>
      <c r="S112" t="s">
        <v>488</v>
      </c>
    </row>
    <row r="113" spans="1:19" x14ac:dyDescent="0.25">
      <c r="A113" t="s">
        <v>341</v>
      </c>
      <c r="B113">
        <v>24.6613636363636</v>
      </c>
      <c r="C113">
        <v>111</v>
      </c>
      <c r="D113">
        <f t="shared" si="13"/>
        <v>3.2052377937078993</v>
      </c>
      <c r="E113">
        <f t="shared" si="14"/>
        <v>3.6333112678243675</v>
      </c>
      <c r="F113">
        <f t="shared" si="10"/>
        <v>37.837900832791327</v>
      </c>
      <c r="G113">
        <f t="shared" si="11"/>
        <v>173.62113248884347</v>
      </c>
      <c r="H113">
        <f t="shared" si="12"/>
        <v>0.16286833499267903</v>
      </c>
      <c r="I113">
        <f t="shared" si="12"/>
        <v>6.0044513230589217E-4</v>
      </c>
      <c r="S113" t="s">
        <v>489</v>
      </c>
    </row>
    <row r="114" spans="1:19" x14ac:dyDescent="0.25">
      <c r="A114" t="s">
        <v>342</v>
      </c>
      <c r="B114">
        <v>29.9636363636364</v>
      </c>
      <c r="C114">
        <v>112</v>
      </c>
      <c r="D114">
        <f t="shared" si="13"/>
        <v>3.3999845252369472</v>
      </c>
      <c r="E114">
        <f t="shared" si="14"/>
        <v>3.6344509879159195</v>
      </c>
      <c r="F114">
        <f t="shared" si="10"/>
        <v>37.881050032927007</v>
      </c>
      <c r="G114">
        <f t="shared" si="11"/>
        <v>62.685439210669749</v>
      </c>
      <c r="H114">
        <f t="shared" si="12"/>
        <v>4.3606945352563854E-2</v>
      </c>
      <c r="I114">
        <f t="shared" si="12"/>
        <v>6.5759945533772058E-4</v>
      </c>
      <c r="S114" t="s">
        <v>490</v>
      </c>
    </row>
    <row r="115" spans="1:19" x14ac:dyDescent="0.25">
      <c r="A115" t="s">
        <v>343</v>
      </c>
      <c r="B115">
        <v>33.511904761904802</v>
      </c>
      <c r="C115">
        <v>113</v>
      </c>
      <c r="D115">
        <f t="shared" si="13"/>
        <v>3.5119007417304782</v>
      </c>
      <c r="E115">
        <f t="shared" si="14"/>
        <v>3.6355907080074714</v>
      </c>
      <c r="F115">
        <f t="shared" si="10"/>
        <v>37.924248439108247</v>
      </c>
      <c r="G115">
        <f t="shared" si="11"/>
        <v>19.46877672575722</v>
      </c>
      <c r="H115">
        <f t="shared" si="12"/>
        <v>9.3908782943524557E-3</v>
      </c>
      <c r="I115">
        <f t="shared" si="12"/>
        <v>7.1735170214372323E-4</v>
      </c>
      <c r="S115" t="s">
        <v>491</v>
      </c>
    </row>
    <row r="116" spans="1:19" x14ac:dyDescent="0.25">
      <c r="A116" t="s">
        <v>344</v>
      </c>
      <c r="B116">
        <v>33.088636363636397</v>
      </c>
      <c r="C116">
        <v>114</v>
      </c>
      <c r="D116">
        <f t="shared" si="13"/>
        <v>3.4991899111610199</v>
      </c>
      <c r="E116">
        <f t="shared" si="14"/>
        <v>3.6367304280990229</v>
      </c>
      <c r="F116">
        <f t="shared" si="10"/>
        <v>37.967496107448142</v>
      </c>
      <c r="G116">
        <f t="shared" si="11"/>
        <v>23.803272399786806</v>
      </c>
      <c r="H116">
        <f t="shared" si="12"/>
        <v>1.201596883502052E-2</v>
      </c>
      <c r="I116">
        <f t="shared" si="12"/>
        <v>7.7970187272387553E-4</v>
      </c>
      <c r="S116" t="s">
        <v>492</v>
      </c>
    </row>
    <row r="117" spans="1:19" x14ac:dyDescent="0.25">
      <c r="A117" t="s">
        <v>345</v>
      </c>
      <c r="B117">
        <v>32.360869565217399</v>
      </c>
      <c r="C117">
        <v>115</v>
      </c>
      <c r="D117">
        <f t="shared" si="13"/>
        <v>3.4769499634367156</v>
      </c>
      <c r="E117">
        <f t="shared" si="14"/>
        <v>3.6378701481905749</v>
      </c>
      <c r="F117">
        <f t="shared" si="10"/>
        <v>38.010793094123756</v>
      </c>
      <c r="G117">
        <f t="shared" si="11"/>
        <v>31.921635882489653</v>
      </c>
      <c r="H117">
        <f t="shared" si="12"/>
        <v>1.7386353475584142E-2</v>
      </c>
      <c r="I117">
        <f t="shared" si="12"/>
        <v>8.4464996707822604E-4</v>
      </c>
      <c r="S117" t="s">
        <v>493</v>
      </c>
    </row>
    <row r="118" spans="1:19" x14ac:dyDescent="0.25">
      <c r="A118" t="s">
        <v>346</v>
      </c>
      <c r="B118">
        <v>31.376190476190501</v>
      </c>
      <c r="C118">
        <v>116</v>
      </c>
      <c r="D118">
        <f t="shared" si="13"/>
        <v>3.4460493401963519</v>
      </c>
      <c r="E118">
        <f t="shared" si="14"/>
        <v>3.6390098682821268</v>
      </c>
      <c r="F118">
        <f t="shared" si="10"/>
        <v>38.054139455376252</v>
      </c>
      <c r="G118">
        <f t="shared" si="11"/>
        <v>44.595002568608002</v>
      </c>
      <c r="H118">
        <f t="shared" si="12"/>
        <v>2.6490148875350221E-2</v>
      </c>
      <c r="I118">
        <f t="shared" si="12"/>
        <v>9.1219598520675079E-4</v>
      </c>
      <c r="S118" t="s">
        <v>531</v>
      </c>
    </row>
    <row r="119" spans="1:19" x14ac:dyDescent="0.25">
      <c r="A119" t="s">
        <v>347</v>
      </c>
      <c r="B119">
        <v>29.981818181818198</v>
      </c>
      <c r="C119">
        <v>117</v>
      </c>
      <c r="D119">
        <f t="shared" si="13"/>
        <v>3.4005911373271287</v>
      </c>
      <c r="E119">
        <f t="shared" si="14"/>
        <v>3.6401495883736783</v>
      </c>
      <c r="F119">
        <f t="shared" si="10"/>
        <v>38.097535247510898</v>
      </c>
      <c r="G119">
        <f t="shared" si="11"/>
        <v>65.864863490375711</v>
      </c>
      <c r="H119">
        <f t="shared" si="12"/>
        <v>4.3353964508198603E-2</v>
      </c>
      <c r="I119">
        <f t="shared" si="12"/>
        <v>9.8233992710942204E-4</v>
      </c>
      <c r="S119" t="s">
        <v>495</v>
      </c>
    </row>
    <row r="120" spans="1:19" x14ac:dyDescent="0.25">
      <c r="A120" t="s">
        <v>348</v>
      </c>
      <c r="B120">
        <v>29.636363636363601</v>
      </c>
      <c r="C120">
        <v>118</v>
      </c>
      <c r="D120">
        <f t="shared" si="13"/>
        <v>3.3890021085683357</v>
      </c>
      <c r="E120">
        <f t="shared" si="14"/>
        <v>3.6412893084652302</v>
      </c>
      <c r="F120">
        <f t="shared" si="10"/>
        <v>38.140980526897174</v>
      </c>
      <c r="G120">
        <f t="shared" si="11"/>
        <v>72.328508454748928</v>
      </c>
      <c r="H120">
        <f t="shared" si="12"/>
        <v>4.8314315962463217E-2</v>
      </c>
      <c r="I120">
        <f t="shared" si="12"/>
        <v>1.0550817927862943E-3</v>
      </c>
      <c r="S120" t="s">
        <v>496</v>
      </c>
    </row>
    <row r="121" spans="1:19" x14ac:dyDescent="0.25">
      <c r="A121" t="s">
        <v>349</v>
      </c>
      <c r="B121">
        <v>29.485714285714302</v>
      </c>
      <c r="C121">
        <v>119</v>
      </c>
      <c r="D121">
        <f t="shared" si="13"/>
        <v>3.3839058845520951</v>
      </c>
      <c r="E121">
        <f t="shared" si="14"/>
        <v>3.6424290285567822</v>
      </c>
      <c r="F121">
        <f t="shared" si="10"/>
        <v>38.184475349968857</v>
      </c>
      <c r="G121">
        <f t="shared" si="11"/>
        <v>75.668444052991035</v>
      </c>
      <c r="H121">
        <f t="shared" si="12"/>
        <v>5.0580640308461829E-2</v>
      </c>
      <c r="I121">
        <f t="shared" si="12"/>
        <v>1.1304215822373412E-3</v>
      </c>
      <c r="S121" t="s">
        <v>497</v>
      </c>
    </row>
    <row r="122" spans="1:19" x14ac:dyDescent="0.25">
      <c r="A122" t="s">
        <v>350</v>
      </c>
      <c r="B122">
        <v>29.773913043478299</v>
      </c>
      <c r="C122">
        <v>120</v>
      </c>
      <c r="D122">
        <f t="shared" si="13"/>
        <v>3.3936326088983839</v>
      </c>
      <c r="E122">
        <f t="shared" si="14"/>
        <v>3.6435687486483337</v>
      </c>
      <c r="F122">
        <f t="shared" si="10"/>
        <v>38.228019773224062</v>
      </c>
      <c r="G122">
        <f t="shared" si="11"/>
        <v>71.471920597932609</v>
      </c>
      <c r="H122">
        <f t="shared" si="12"/>
        <v>4.6300141603816097E-2</v>
      </c>
      <c r="I122">
        <f t="shared" si="12"/>
        <v>1.2083592954625314E-3</v>
      </c>
      <c r="S122" t="s">
        <v>498</v>
      </c>
    </row>
    <row r="123" spans="1:19" x14ac:dyDescent="0.25">
      <c r="A123" t="s">
        <v>351</v>
      </c>
      <c r="B123">
        <v>29.8571428571429</v>
      </c>
      <c r="C123">
        <v>121</v>
      </c>
      <c r="D123">
        <f t="shared" si="13"/>
        <v>3.3964241029094993</v>
      </c>
      <c r="E123">
        <f t="shared" si="14"/>
        <v>3.6447084687398856</v>
      </c>
      <c r="F123">
        <f t="shared" si="10"/>
        <v>38.271613853225347</v>
      </c>
      <c r="G123">
        <f t="shared" si="11"/>
        <v>70.803322143912723</v>
      </c>
      <c r="H123">
        <f t="shared" si="12"/>
        <v>4.5106616398488446E-2</v>
      </c>
      <c r="I123">
        <f t="shared" si="12"/>
        <v>1.2888949324619259E-3</v>
      </c>
      <c r="R123">
        <v>2021</v>
      </c>
      <c r="S123" t="s">
        <v>487</v>
      </c>
    </row>
    <row r="124" spans="1:19" x14ac:dyDescent="0.25">
      <c r="A124" t="s">
        <v>352</v>
      </c>
      <c r="B124">
        <v>28.662500000000001</v>
      </c>
      <c r="C124">
        <v>122</v>
      </c>
      <c r="D124">
        <f t="shared" si="13"/>
        <v>3.3555896481840231</v>
      </c>
      <c r="E124">
        <f t="shared" si="14"/>
        <v>3.6458481888314376</v>
      </c>
      <c r="F124">
        <f t="shared" si="10"/>
        <v>38.315257646599775</v>
      </c>
      <c r="G124">
        <f t="shared" si="11"/>
        <v>93.17573018399041</v>
      </c>
      <c r="H124">
        <f t="shared" si="12"/>
        <v>6.4119172028178545E-2</v>
      </c>
      <c r="I124">
        <f t="shared" si="12"/>
        <v>1.3720284932354947E-3</v>
      </c>
      <c r="S124" t="s">
        <v>488</v>
      </c>
    </row>
    <row r="125" spans="1:19" x14ac:dyDescent="0.25">
      <c r="A125" t="s">
        <v>353</v>
      </c>
      <c r="B125">
        <v>28.334782608695701</v>
      </c>
      <c r="C125">
        <v>123</v>
      </c>
      <c r="D125">
        <f t="shared" si="13"/>
        <v>3.3440901174091868</v>
      </c>
      <c r="E125">
        <f t="shared" si="14"/>
        <v>3.6469879089229891</v>
      </c>
      <c r="F125">
        <f t="shared" si="10"/>
        <v>38.358951210038953</v>
      </c>
      <c r="G125">
        <f t="shared" si="11"/>
        <v>100.48395614815593</v>
      </c>
      <c r="H125">
        <f t="shared" si="12"/>
        <v>7.0075179270500498E-2</v>
      </c>
      <c r="I125">
        <f t="shared" si="12"/>
        <v>1.4577599777832039E-3</v>
      </c>
      <c r="S125" t="s">
        <v>489</v>
      </c>
    </row>
    <row r="126" spans="1:19" x14ac:dyDescent="0.25">
      <c r="A126" t="s">
        <v>354</v>
      </c>
      <c r="B126">
        <v>29.7522727272727</v>
      </c>
      <c r="C126">
        <v>124</v>
      </c>
      <c r="D126">
        <f t="shared" si="13"/>
        <v>3.3929055232677912</v>
      </c>
      <c r="E126">
        <f t="shared" si="14"/>
        <v>3.648127629014541</v>
      </c>
      <c r="F126">
        <f t="shared" si="10"/>
        <v>38.402694600299185</v>
      </c>
      <c r="G126">
        <f t="shared" si="11"/>
        <v>74.829798581335027</v>
      </c>
      <c r="H126">
        <f t="shared" si="12"/>
        <v>4.6613571088696959E-2</v>
      </c>
      <c r="I126">
        <f t="shared" si="12"/>
        <v>1.5460893861051204E-3</v>
      </c>
      <c r="S126" t="s">
        <v>490</v>
      </c>
    </row>
    <row r="127" spans="1:19" x14ac:dyDescent="0.25">
      <c r="A127" t="s">
        <v>355</v>
      </c>
      <c r="B127">
        <v>30.257142857142899</v>
      </c>
      <c r="C127">
        <v>125</v>
      </c>
      <c r="D127">
        <f t="shared" si="13"/>
        <v>3.4097322841119944</v>
      </c>
      <c r="E127">
        <f t="shared" si="14"/>
        <v>3.649267349106093</v>
      </c>
      <c r="F127">
        <f t="shared" si="10"/>
        <v>38.446487874201466</v>
      </c>
      <c r="G127">
        <f t="shared" si="11"/>
        <v>67.065371808421986</v>
      </c>
      <c r="H127">
        <f t="shared" si="12"/>
        <v>3.9630856319377385E-2</v>
      </c>
      <c r="I127">
        <f t="shared" si="12"/>
        <v>1.637016718201211E-3</v>
      </c>
      <c r="S127" t="s">
        <v>491</v>
      </c>
    </row>
    <row r="128" spans="1:19" x14ac:dyDescent="0.25">
      <c r="A128" t="s">
        <v>356</v>
      </c>
      <c r="B128">
        <v>32.142105263157902</v>
      </c>
      <c r="C128">
        <v>126</v>
      </c>
      <c r="D128">
        <f t="shared" si="13"/>
        <v>3.470166861062649</v>
      </c>
      <c r="E128">
        <f t="shared" si="14"/>
        <v>3.6504070691976445</v>
      </c>
      <c r="F128">
        <f t="shared" si="10"/>
        <v>38.490331088631585</v>
      </c>
      <c r="G128">
        <f t="shared" si="11"/>
        <v>40.299971131211031</v>
      </c>
      <c r="H128">
        <f t="shared" si="12"/>
        <v>1.9221167386881871E-2</v>
      </c>
      <c r="I128">
        <f t="shared" si="12"/>
        <v>1.7305419740714393E-3</v>
      </c>
      <c r="S128" t="s">
        <v>492</v>
      </c>
    </row>
    <row r="129" spans="1:19" x14ac:dyDescent="0.25">
      <c r="A129" t="s">
        <v>357</v>
      </c>
      <c r="B129">
        <v>32.338636363636397</v>
      </c>
      <c r="C129">
        <v>127</v>
      </c>
      <c r="D129">
        <f t="shared" si="13"/>
        <v>3.4762626876333855</v>
      </c>
      <c r="E129">
        <f t="shared" si="14"/>
        <v>3.6515467892891964</v>
      </c>
      <c r="F129">
        <f t="shared" si="10"/>
        <v>38.534224300540224</v>
      </c>
      <c r="G129">
        <f t="shared" si="11"/>
        <v>38.385309883908221</v>
      </c>
      <c r="H129">
        <f t="shared" si="12"/>
        <v>1.7568070517995318E-2</v>
      </c>
      <c r="I129">
        <f t="shared" si="12"/>
        <v>1.8266651537158778E-3</v>
      </c>
      <c r="S129" t="s">
        <v>493</v>
      </c>
    </row>
    <row r="130" spans="1:19" x14ac:dyDescent="0.25">
      <c r="A130" t="s">
        <v>358</v>
      </c>
      <c r="B130">
        <v>32.147727272727302</v>
      </c>
      <c r="C130">
        <v>128</v>
      </c>
      <c r="D130">
        <f t="shared" si="13"/>
        <v>3.4703417568233617</v>
      </c>
      <c r="E130">
        <f t="shared" si="14"/>
        <v>3.6526865093807483</v>
      </c>
      <c r="F130">
        <f t="shared" si="10"/>
        <v>38.578167566943002</v>
      </c>
      <c r="G130">
        <f t="shared" si="11"/>
        <v>41.350562377472897</v>
      </c>
      <c r="H130">
        <f t="shared" si="12"/>
        <v>1.9172702730289478E-2</v>
      </c>
      <c r="I130">
        <f t="shared" si="12"/>
        <v>1.9253862571344904E-3</v>
      </c>
      <c r="S130" t="s">
        <v>531</v>
      </c>
    </row>
    <row r="131" spans="1:19" x14ac:dyDescent="0.25">
      <c r="A131" t="s">
        <v>359</v>
      </c>
      <c r="B131">
        <v>45.078125</v>
      </c>
      <c r="C131">
        <v>129</v>
      </c>
      <c r="D131">
        <f t="shared" ref="D131:D162" si="15">LN(B131)</f>
        <v>3.8083970955825279</v>
      </c>
      <c r="E131">
        <f t="shared" ref="E131:E162" si="16">SLOPE($D$3:$D$182,$C$3:$C$182)*$C131+INTERCEPT($D$3:$D$182,$C$3:$C$182)</f>
        <v>3.6538262294722998</v>
      </c>
      <c r="F131">
        <f t="shared" si="10"/>
        <v>38.622160944920537</v>
      </c>
      <c r="G131">
        <f t="shared" si="11"/>
        <v>41.679471880478062</v>
      </c>
      <c r="H131">
        <f t="shared" si="12"/>
        <v>3.9836092146670082E-2</v>
      </c>
      <c r="I131">
        <f t="shared" si="12"/>
        <v>2.0267052843272377E-3</v>
      </c>
      <c r="S131" t="s">
        <v>495</v>
      </c>
    </row>
    <row r="132" spans="1:19" x14ac:dyDescent="0.25">
      <c r="A132" t="s">
        <v>360</v>
      </c>
      <c r="B132">
        <v>38.476190476190503</v>
      </c>
      <c r="C132">
        <v>130</v>
      </c>
      <c r="D132">
        <f t="shared" si="15"/>
        <v>3.6500396207976729</v>
      </c>
      <c r="E132">
        <f t="shared" si="16"/>
        <v>3.6549659495638518</v>
      </c>
      <c r="F132">
        <f t="shared" ref="F132:F180" si="17">EXP(SLOPE($D$3:$D$182,$C$3:$C$182)*$C132)*EXP(INTERCEPT($D$3:$D$182,$C$3:$C$182))</f>
        <v>38.666204491618579</v>
      </c>
      <c r="G132">
        <f t="shared" ref="G132:G180" si="18">(F132-B132)^2</f>
        <v>3.610532605910121E-2</v>
      </c>
      <c r="H132">
        <f t="shared" ref="H132:I180" si="19">(D132-AVERAGE($D$3:$D$182))^2</f>
        <v>1.7001054447419784E-3</v>
      </c>
      <c r="I132">
        <f t="shared" si="19"/>
        <v>2.1306222352941982E-3</v>
      </c>
      <c r="S132" t="s">
        <v>496</v>
      </c>
    </row>
    <row r="133" spans="1:19" x14ac:dyDescent="0.25">
      <c r="A133" t="s">
        <v>361</v>
      </c>
      <c r="B133">
        <v>31.099584036972999</v>
      </c>
      <c r="C133">
        <v>131</v>
      </c>
      <c r="D133">
        <f t="shared" si="15"/>
        <v>3.4371944440787967</v>
      </c>
      <c r="E133">
        <f t="shared" si="16"/>
        <v>3.6561056696554037</v>
      </c>
      <c r="F133">
        <f t="shared" si="17"/>
        <v>38.710298264248003</v>
      </c>
      <c r="G133">
        <f t="shared" si="18"/>
        <v>57.922971049246158</v>
      </c>
      <c r="H133">
        <f t="shared" si="19"/>
        <v>2.9450967462848737E-2</v>
      </c>
      <c r="I133">
        <f t="shared" si="19"/>
        <v>2.237137110035333E-3</v>
      </c>
      <c r="S133" t="s">
        <v>497</v>
      </c>
    </row>
    <row r="134" spans="1:19" x14ac:dyDescent="0.25">
      <c r="A134" t="s">
        <v>362</v>
      </c>
      <c r="B134">
        <v>36.129303027444998</v>
      </c>
      <c r="C134">
        <v>132</v>
      </c>
      <c r="D134">
        <f t="shared" si="15"/>
        <v>3.5871042542855487</v>
      </c>
      <c r="E134">
        <f t="shared" si="16"/>
        <v>3.6572453897469552</v>
      </c>
      <c r="F134">
        <f t="shared" si="17"/>
        <v>38.754442320084955</v>
      </c>
      <c r="G134">
        <f t="shared" si="18"/>
        <v>6.8913563057622165</v>
      </c>
      <c r="H134">
        <f t="shared" si="19"/>
        <v>4.7102157934817367E-4</v>
      </c>
      <c r="I134">
        <f t="shared" si="19"/>
        <v>2.3462499085505992E-3</v>
      </c>
      <c r="S134" t="s">
        <v>498</v>
      </c>
    </row>
    <row r="135" spans="1:19" x14ac:dyDescent="0.25">
      <c r="A135" t="s">
        <v>363</v>
      </c>
      <c r="B135">
        <v>36.872921185827899</v>
      </c>
      <c r="C135">
        <v>133</v>
      </c>
      <c r="D135">
        <f t="shared" si="15"/>
        <v>3.6074774384492589</v>
      </c>
      <c r="E135">
        <f t="shared" si="16"/>
        <v>3.6583851098385072</v>
      </c>
      <c r="F135">
        <f t="shared" si="17"/>
        <v>38.798636716470888</v>
      </c>
      <c r="G135">
        <f t="shared" si="18"/>
        <v>3.70838030495961</v>
      </c>
      <c r="H135">
        <f t="shared" si="19"/>
        <v>1.7684941252261638E-6</v>
      </c>
      <c r="I135">
        <f t="shared" si="19"/>
        <v>2.4579606308400815E-3</v>
      </c>
      <c r="R135">
        <v>2022</v>
      </c>
      <c r="S135" t="s">
        <v>487</v>
      </c>
    </row>
    <row r="136" spans="1:19" x14ac:dyDescent="0.25">
      <c r="A136" t="s">
        <v>364</v>
      </c>
      <c r="B136">
        <v>35.8319143167028</v>
      </c>
      <c r="C136">
        <v>134</v>
      </c>
      <c r="D136">
        <f t="shared" si="15"/>
        <v>3.5788389576513806</v>
      </c>
      <c r="E136">
        <f t="shared" si="16"/>
        <v>3.6595248299300591</v>
      </c>
      <c r="F136">
        <f t="shared" si="17"/>
        <v>38.842881510812639</v>
      </c>
      <c r="G136">
        <f t="shared" si="18"/>
        <v>9.0659234440056728</v>
      </c>
      <c r="H136">
        <f t="shared" si="19"/>
        <v>8.9810069538001744E-4</v>
      </c>
      <c r="I136">
        <f t="shared" si="19"/>
        <v>2.5722692769037385E-3</v>
      </c>
      <c r="S136" t="s">
        <v>488</v>
      </c>
    </row>
    <row r="137" spans="1:19" x14ac:dyDescent="0.25">
      <c r="A137" t="s">
        <v>365</v>
      </c>
      <c r="B137">
        <v>45.514701028010897</v>
      </c>
      <c r="C137">
        <v>135</v>
      </c>
      <c r="D137">
        <f t="shared" si="15"/>
        <v>3.8180353732882195</v>
      </c>
      <c r="E137">
        <f t="shared" si="16"/>
        <v>3.6606645500216106</v>
      </c>
      <c r="F137">
        <f t="shared" si="17"/>
        <v>38.887176760582527</v>
      </c>
      <c r="G137">
        <f t="shared" si="18"/>
        <v>43.924077915351958</v>
      </c>
      <c r="H137">
        <f t="shared" si="19"/>
        <v>4.3776392570542881E-2</v>
      </c>
      <c r="I137">
        <f t="shared" si="19"/>
        <v>2.6891758467415235E-3</v>
      </c>
      <c r="S137" t="s">
        <v>489</v>
      </c>
    </row>
    <row r="138" spans="1:19" x14ac:dyDescent="0.25">
      <c r="A138" t="s">
        <v>366</v>
      </c>
      <c r="B138">
        <v>48.704730916227597</v>
      </c>
      <c r="C138">
        <v>136</v>
      </c>
      <c r="D138">
        <f t="shared" si="15"/>
        <v>3.8857761694407462</v>
      </c>
      <c r="E138">
        <f t="shared" si="16"/>
        <v>3.6618042701131626</v>
      </c>
      <c r="F138">
        <f t="shared" si="17"/>
        <v>38.931522523318378</v>
      </c>
      <c r="G138">
        <f t="shared" si="18"/>
        <v>95.51560229123119</v>
      </c>
      <c r="H138">
        <f t="shared" si="19"/>
        <v>7.6711762474178574E-2</v>
      </c>
      <c r="I138">
        <f t="shared" si="19"/>
        <v>2.8086803403535279E-3</v>
      </c>
      <c r="S138" t="s">
        <v>490</v>
      </c>
    </row>
    <row r="139" spans="1:19" x14ac:dyDescent="0.25">
      <c r="A139" t="s">
        <v>367</v>
      </c>
      <c r="B139">
        <v>40.891626405048299</v>
      </c>
      <c r="C139">
        <v>137</v>
      </c>
      <c r="D139">
        <f t="shared" si="15"/>
        <v>3.7109253087151157</v>
      </c>
      <c r="E139">
        <f t="shared" si="16"/>
        <v>3.6629439902047145</v>
      </c>
      <c r="F139">
        <f t="shared" si="17"/>
        <v>38.975918856623672</v>
      </c>
      <c r="G139">
        <f t="shared" si="18"/>
        <v>3.6699354110910973</v>
      </c>
      <c r="H139">
        <f t="shared" si="19"/>
        <v>1.0428090592654093E-2</v>
      </c>
      <c r="I139">
        <f t="shared" si="19"/>
        <v>2.9307827577397067E-3</v>
      </c>
      <c r="S139" t="s">
        <v>491</v>
      </c>
    </row>
    <row r="140" spans="1:19" x14ac:dyDescent="0.25">
      <c r="A140" t="s">
        <v>368</v>
      </c>
      <c r="B140">
        <v>40.331517452179</v>
      </c>
      <c r="C140">
        <v>138</v>
      </c>
      <c r="D140">
        <f t="shared" si="15"/>
        <v>3.6971332340683158</v>
      </c>
      <c r="E140">
        <f t="shared" si="16"/>
        <v>3.664083710296266</v>
      </c>
      <c r="F140">
        <f t="shared" si="17"/>
        <v>39.020365818167555</v>
      </c>
      <c r="G140">
        <f t="shared" si="18"/>
        <v>1.7191186073708817</v>
      </c>
      <c r="H140">
        <f t="shared" si="19"/>
        <v>7.8014731276040191E-3</v>
      </c>
      <c r="I140">
        <f t="shared" si="19"/>
        <v>3.0554830989000109E-3</v>
      </c>
      <c r="S140" t="s">
        <v>492</v>
      </c>
    </row>
    <row r="141" spans="1:19" x14ac:dyDescent="0.25">
      <c r="A141" t="s">
        <v>369</v>
      </c>
      <c r="B141">
        <v>38.939159177770797</v>
      </c>
      <c r="C141">
        <v>139</v>
      </c>
      <c r="D141">
        <f t="shared" si="15"/>
        <v>3.6620004069469512</v>
      </c>
      <c r="E141">
        <f t="shared" si="16"/>
        <v>3.6652234303878179</v>
      </c>
      <c r="F141">
        <f t="shared" si="17"/>
        <v>39.064863465684944</v>
      </c>
      <c r="G141">
        <f t="shared" si="18"/>
        <v>1.5801568000002653E-2</v>
      </c>
      <c r="H141">
        <f t="shared" si="19"/>
        <v>2.829508131396184E-3</v>
      </c>
      <c r="I141">
        <f t="shared" si="19"/>
        <v>3.1827813638345371E-3</v>
      </c>
      <c r="S141" t="s">
        <v>493</v>
      </c>
    </row>
    <row r="142" spans="1:19" x14ac:dyDescent="0.25">
      <c r="A142" t="s">
        <v>370</v>
      </c>
      <c r="B142">
        <v>39.802308308969103</v>
      </c>
      <c r="C142">
        <v>140</v>
      </c>
      <c r="D142">
        <f t="shared" si="15"/>
        <v>3.6839249083213814</v>
      </c>
      <c r="E142">
        <f t="shared" si="16"/>
        <v>3.6663631504793699</v>
      </c>
      <c r="F142">
        <f t="shared" si="17"/>
        <v>39.109411856976593</v>
      </c>
      <c r="G142">
        <f t="shared" si="18"/>
        <v>0.48010549318380907</v>
      </c>
      <c r="H142">
        <f t="shared" si="19"/>
        <v>5.6426572048509961E-3</v>
      </c>
      <c r="I142">
        <f t="shared" si="19"/>
        <v>3.3126775525432381E-3</v>
      </c>
      <c r="S142" t="s">
        <v>531</v>
      </c>
    </row>
    <row r="143" spans="1:19" x14ac:dyDescent="0.25">
      <c r="A143" t="s">
        <v>371</v>
      </c>
      <c r="B143">
        <v>40.950391934529598</v>
      </c>
      <c r="C143">
        <v>141</v>
      </c>
      <c r="D143">
        <f t="shared" si="15"/>
        <v>3.7123613813040599</v>
      </c>
      <c r="E143">
        <f t="shared" si="16"/>
        <v>3.6675028705709214</v>
      </c>
      <c r="F143">
        <f t="shared" si="17"/>
        <v>39.154011049909165</v>
      </c>
      <c r="G143">
        <f t="shared" si="18"/>
        <v>3.2269842826296893</v>
      </c>
      <c r="H143">
        <f t="shared" si="19"/>
        <v>1.0723450684065102E-2</v>
      </c>
      <c r="I143">
        <f t="shared" si="19"/>
        <v>3.445171665026061E-3</v>
      </c>
      <c r="S143" t="s">
        <v>495</v>
      </c>
    </row>
    <row r="144" spans="1:19" x14ac:dyDescent="0.25">
      <c r="A144" t="s">
        <v>372</v>
      </c>
      <c r="B144">
        <v>41.303597252349903</v>
      </c>
      <c r="C144">
        <v>142</v>
      </c>
      <c r="D144">
        <f t="shared" si="15"/>
        <v>3.7209495967151152</v>
      </c>
      <c r="E144">
        <f t="shared" si="16"/>
        <v>3.6686425906624733</v>
      </c>
      <c r="F144">
        <f t="shared" si="17"/>
        <v>39.198661102415329</v>
      </c>
      <c r="G144">
        <f t="shared" si="18"/>
        <v>4.4307561953013854</v>
      </c>
      <c r="H144">
        <f t="shared" si="19"/>
        <v>1.2575897884821554E-2</v>
      </c>
      <c r="I144">
        <f t="shared" si="19"/>
        <v>3.5802637012831099E-3</v>
      </c>
      <c r="S144" t="s">
        <v>496</v>
      </c>
    </row>
    <row r="145" spans="1:19" x14ac:dyDescent="0.25">
      <c r="A145" t="s">
        <v>373</v>
      </c>
      <c r="B145">
        <v>40.954064780122202</v>
      </c>
      <c r="C145">
        <v>143</v>
      </c>
      <c r="D145">
        <f t="shared" si="15"/>
        <v>3.7124510674027755</v>
      </c>
      <c r="E145">
        <f t="shared" si="16"/>
        <v>3.6697823107540253</v>
      </c>
      <c r="F145">
        <f t="shared" si="17"/>
        <v>39.243362072493795</v>
      </c>
      <c r="G145">
        <f t="shared" si="18"/>
        <v>2.9265037538871628</v>
      </c>
      <c r="H145">
        <f t="shared" si="19"/>
        <v>1.0742033453314929E-2</v>
      </c>
      <c r="I145">
        <f t="shared" si="19"/>
        <v>3.7179536613143327E-3</v>
      </c>
      <c r="S145" t="s">
        <v>497</v>
      </c>
    </row>
    <row r="146" spans="1:19" x14ac:dyDescent="0.25">
      <c r="A146" t="s">
        <v>374</v>
      </c>
      <c r="B146">
        <v>39.178243936107201</v>
      </c>
      <c r="C146">
        <v>144</v>
      </c>
      <c r="D146">
        <f t="shared" si="15"/>
        <v>3.6681215910960852</v>
      </c>
      <c r="E146">
        <f t="shared" si="16"/>
        <v>3.6709220308455768</v>
      </c>
      <c r="F146">
        <f t="shared" si="17"/>
        <v>39.288114018209441</v>
      </c>
      <c r="G146">
        <f t="shared" si="18"/>
        <v>1.2071434941153062E-2</v>
      </c>
      <c r="H146">
        <f t="shared" si="19"/>
        <v>3.5181868061135361E-3</v>
      </c>
      <c r="I146">
        <f t="shared" si="19"/>
        <v>3.8582415451196748E-3</v>
      </c>
      <c r="S146" t="s">
        <v>498</v>
      </c>
    </row>
    <row r="147" spans="1:19" x14ac:dyDescent="0.25">
      <c r="A147" t="s">
        <v>375</v>
      </c>
      <c r="B147">
        <v>40.063399723920199</v>
      </c>
      <c r="C147">
        <v>145</v>
      </c>
      <c r="D147">
        <f t="shared" si="15"/>
        <v>3.6904631924360798</v>
      </c>
      <c r="E147">
        <f t="shared" si="16"/>
        <v>3.6720617509371287</v>
      </c>
      <c r="F147">
        <f t="shared" si="17"/>
        <v>39.332916997693331</v>
      </c>
      <c r="G147">
        <f t="shared" si="18"/>
        <v>0.53360501331583654</v>
      </c>
      <c r="H147">
        <f t="shared" si="19"/>
        <v>6.6676870794140876E-3</v>
      </c>
      <c r="I147">
        <f t="shared" si="19"/>
        <v>4.001127352699245E-3</v>
      </c>
      <c r="R147">
        <v>2023</v>
      </c>
      <c r="S147" t="s">
        <v>487</v>
      </c>
    </row>
    <row r="148" spans="1:19" x14ac:dyDescent="0.25">
      <c r="A148" t="s">
        <v>376</v>
      </c>
      <c r="B148">
        <v>41.314370932754798</v>
      </c>
      <c r="C148">
        <v>146</v>
      </c>
      <c r="D148">
        <f t="shared" si="15"/>
        <v>3.7212104039148715</v>
      </c>
      <c r="E148">
        <f t="shared" si="16"/>
        <v>3.6732014710286807</v>
      </c>
      <c r="F148">
        <f t="shared" si="17"/>
        <v>39.377771069142845</v>
      </c>
      <c r="G148">
        <f t="shared" si="18"/>
        <v>3.750419031741834</v>
      </c>
      <c r="H148">
        <f t="shared" si="19"/>
        <v>1.2634460949355728E-2</v>
      </c>
      <c r="I148">
        <f t="shared" si="19"/>
        <v>4.14661108405299E-3</v>
      </c>
      <c r="S148" t="s">
        <v>488</v>
      </c>
    </row>
    <row r="149" spans="1:19" x14ac:dyDescent="0.25">
      <c r="A149" t="s">
        <v>377</v>
      </c>
      <c r="B149">
        <v>40.741523004909098</v>
      </c>
      <c r="C149">
        <v>147</v>
      </c>
      <c r="D149">
        <f t="shared" si="15"/>
        <v>3.7072477936273822</v>
      </c>
      <c r="E149">
        <f t="shared" si="16"/>
        <v>3.6743411911202322</v>
      </c>
      <c r="F149">
        <f t="shared" si="17"/>
        <v>39.422676290821698</v>
      </c>
      <c r="G149">
        <f t="shared" si="18"/>
        <v>1.7393566552591313</v>
      </c>
      <c r="H149">
        <f t="shared" si="19"/>
        <v>9.6905335702868033E-3</v>
      </c>
      <c r="I149">
        <f t="shared" si="19"/>
        <v>4.2946927391808512E-3</v>
      </c>
      <c r="S149" t="s">
        <v>489</v>
      </c>
    </row>
    <row r="150" spans="1:19" x14ac:dyDescent="0.25">
      <c r="A150" t="s">
        <v>378</v>
      </c>
      <c r="B150">
        <v>41.762017353579097</v>
      </c>
      <c r="C150">
        <v>148</v>
      </c>
      <c r="D150">
        <f t="shared" si="15"/>
        <v>3.7319872506829377</v>
      </c>
      <c r="E150">
        <f t="shared" si="16"/>
        <v>3.6754809112117841</v>
      </c>
      <c r="F150">
        <f t="shared" si="17"/>
        <v>39.467632721060099</v>
      </c>
      <c r="G150">
        <f t="shared" si="18"/>
        <v>5.2642008419393376</v>
      </c>
      <c r="H150">
        <f t="shared" si="19"/>
        <v>1.5173303734764656E-2</v>
      </c>
      <c r="I150">
        <f t="shared" si="19"/>
        <v>4.4453723180829432E-3</v>
      </c>
      <c r="S150" t="s">
        <v>490</v>
      </c>
    </row>
    <row r="151" spans="1:19" x14ac:dyDescent="0.25">
      <c r="A151" t="s">
        <v>379</v>
      </c>
      <c r="B151">
        <v>43.462666226539497</v>
      </c>
      <c r="C151">
        <v>149</v>
      </c>
      <c r="D151">
        <f t="shared" si="15"/>
        <v>3.7719023219234908</v>
      </c>
      <c r="E151">
        <f t="shared" si="16"/>
        <v>3.6766206313033361</v>
      </c>
      <c r="F151">
        <f t="shared" si="17"/>
        <v>39.512640418254719</v>
      </c>
      <c r="G151">
        <f t="shared" si="18"/>
        <v>15.602703886115814</v>
      </c>
      <c r="H151">
        <f t="shared" si="19"/>
        <v>2.659999078985488E-2</v>
      </c>
      <c r="I151">
        <f t="shared" si="19"/>
        <v>4.5986498207592104E-3</v>
      </c>
      <c r="S151" t="s">
        <v>491</v>
      </c>
    </row>
    <row r="152" spans="1:19" x14ac:dyDescent="0.25">
      <c r="A152" t="s">
        <v>380</v>
      </c>
      <c r="B152">
        <v>45.700483139420101</v>
      </c>
      <c r="C152">
        <v>150</v>
      </c>
      <c r="D152">
        <f t="shared" si="15"/>
        <v>3.8221088698228338</v>
      </c>
      <c r="E152">
        <f t="shared" si="16"/>
        <v>3.6777603513948876</v>
      </c>
      <c r="F152">
        <f t="shared" si="17"/>
        <v>39.557699440868859</v>
      </c>
      <c r="G152">
        <f t="shared" si="18"/>
        <v>37.73379156718687</v>
      </c>
      <c r="H152">
        <f t="shared" si="19"/>
        <v>4.5497565722758614E-2</v>
      </c>
      <c r="I152">
        <f t="shared" si="19"/>
        <v>4.7545252472095904E-3</v>
      </c>
      <c r="S152" t="s">
        <v>492</v>
      </c>
    </row>
    <row r="153" spans="1:19" x14ac:dyDescent="0.25">
      <c r="A153" t="s">
        <v>381</v>
      </c>
      <c r="B153">
        <v>45.247533829149802</v>
      </c>
      <c r="C153">
        <v>151</v>
      </c>
      <c r="D153">
        <f t="shared" si="15"/>
        <v>3.8121481676474369</v>
      </c>
      <c r="E153">
        <f t="shared" si="16"/>
        <v>3.6789000714864395</v>
      </c>
      <c r="F153">
        <f t="shared" si="17"/>
        <v>39.602809847432482</v>
      </c>
      <c r="G153">
        <f t="shared" si="18"/>
        <v>31.862908829774632</v>
      </c>
      <c r="H153">
        <f t="shared" si="19"/>
        <v>4.1347514207717553E-2</v>
      </c>
      <c r="I153">
        <f t="shared" si="19"/>
        <v>4.9129985974342046E-3</v>
      </c>
      <c r="S153" t="s">
        <v>493</v>
      </c>
    </row>
    <row r="154" spans="1:19" x14ac:dyDescent="0.25">
      <c r="A154" t="s">
        <v>382</v>
      </c>
      <c r="B154">
        <v>46.377180986513103</v>
      </c>
      <c r="C154">
        <v>152</v>
      </c>
      <c r="D154">
        <f t="shared" si="15"/>
        <v>3.8368075491805267</v>
      </c>
      <c r="E154">
        <f t="shared" si="16"/>
        <v>3.6800397915779914</v>
      </c>
      <c r="F154">
        <f t="shared" si="17"/>
        <v>39.647971696542278</v>
      </c>
      <c r="G154">
        <f t="shared" si="18"/>
        <v>45.282257668229654</v>
      </c>
      <c r="H154">
        <f t="shared" si="19"/>
        <v>5.198412007605175E-2</v>
      </c>
      <c r="I154">
        <f t="shared" si="19"/>
        <v>5.074069871432994E-3</v>
      </c>
      <c r="S154" t="s">
        <v>531</v>
      </c>
    </row>
    <row r="155" spans="1:19" x14ac:dyDescent="0.25">
      <c r="A155" t="s">
        <v>383</v>
      </c>
      <c r="B155">
        <v>53.202742485280297</v>
      </c>
      <c r="C155">
        <v>153</v>
      </c>
      <c r="D155">
        <f t="shared" si="15"/>
        <v>3.9741099454941122</v>
      </c>
      <c r="E155">
        <f t="shared" si="16"/>
        <v>3.6811795116695429</v>
      </c>
      <c r="F155">
        <f t="shared" si="17"/>
        <v>39.693185046861785</v>
      </c>
      <c r="G155">
        <f t="shared" si="18"/>
        <v>182.50814218192892</v>
      </c>
      <c r="H155">
        <f t="shared" si="19"/>
        <v>0.13344603313867565</v>
      </c>
      <c r="I155">
        <f t="shared" si="19"/>
        <v>5.2377390692058927E-3</v>
      </c>
      <c r="S155" t="s">
        <v>495</v>
      </c>
    </row>
    <row r="156" spans="1:19" x14ac:dyDescent="0.25">
      <c r="A156" t="s">
        <v>384</v>
      </c>
      <c r="B156">
        <v>57.646413429303799</v>
      </c>
      <c r="C156">
        <v>154</v>
      </c>
      <c r="D156">
        <f t="shared" si="15"/>
        <v>4.054328031931612</v>
      </c>
      <c r="E156">
        <f t="shared" si="16"/>
        <v>3.6823192317610949</v>
      </c>
      <c r="F156">
        <f t="shared" si="17"/>
        <v>39.738449957121425</v>
      </c>
      <c r="G156">
        <f t="shared" si="18"/>
        <v>320.69515572101818</v>
      </c>
      <c r="H156">
        <f t="shared" si="19"/>
        <v>0.19848873518376647</v>
      </c>
      <c r="I156">
        <f t="shared" si="19"/>
        <v>5.4040061907530291E-3</v>
      </c>
      <c r="S156" t="s">
        <v>496</v>
      </c>
    </row>
    <row r="157" spans="1:19" x14ac:dyDescent="0.25">
      <c r="A157" t="s">
        <v>385</v>
      </c>
      <c r="B157">
        <v>62.285951981857501</v>
      </c>
      <c r="C157">
        <v>155</v>
      </c>
      <c r="D157">
        <f t="shared" si="15"/>
        <v>4.1317359105089224</v>
      </c>
      <c r="E157">
        <f t="shared" si="16"/>
        <v>3.6834589518526468</v>
      </c>
      <c r="F157">
        <f t="shared" si="17"/>
        <v>39.783766486118601</v>
      </c>
      <c r="G157">
        <f t="shared" si="18"/>
        <v>506.3483520846421</v>
      </c>
      <c r="H157">
        <f t="shared" si="19"/>
        <v>0.273454346481393</v>
      </c>
      <c r="I157">
        <f t="shared" si="19"/>
        <v>5.5728712360743398E-3</v>
      </c>
      <c r="S157" t="s">
        <v>497</v>
      </c>
    </row>
    <row r="158" spans="1:19" x14ac:dyDescent="0.25">
      <c r="A158" t="s">
        <v>386</v>
      </c>
      <c r="B158">
        <v>70.059704575973399</v>
      </c>
      <c r="C158">
        <v>156</v>
      </c>
      <c r="D158">
        <f t="shared" si="15"/>
        <v>4.2493478010315524</v>
      </c>
      <c r="E158">
        <f t="shared" si="16"/>
        <v>3.6845986719441983</v>
      </c>
      <c r="F158">
        <f t="shared" si="17"/>
        <v>39.829134692717766</v>
      </c>
      <c r="G158">
        <f t="shared" si="18"/>
        <v>913.88735546640248</v>
      </c>
      <c r="H158">
        <f t="shared" si="19"/>
        <v>0.41029215158135712</v>
      </c>
      <c r="I158">
        <f t="shared" si="19"/>
        <v>5.7443342051697582E-3</v>
      </c>
      <c r="S158" t="s">
        <v>498</v>
      </c>
    </row>
    <row r="159" spans="1:19" x14ac:dyDescent="0.25">
      <c r="A159" t="s">
        <v>387</v>
      </c>
      <c r="B159">
        <v>80.363458455154102</v>
      </c>
      <c r="C159">
        <v>157</v>
      </c>
      <c r="D159">
        <f t="shared" si="15"/>
        <v>4.3865595760434912</v>
      </c>
      <c r="E159">
        <f t="shared" si="16"/>
        <v>3.6857383920357503</v>
      </c>
      <c r="F159">
        <f t="shared" si="17"/>
        <v>39.874554635850487</v>
      </c>
      <c r="G159">
        <f t="shared" si="18"/>
        <v>1639.351332488819</v>
      </c>
      <c r="H159">
        <f t="shared" si="19"/>
        <v>0.60489862489188162</v>
      </c>
      <c r="I159">
        <f t="shared" si="19"/>
        <v>5.9183950980394168E-3</v>
      </c>
      <c r="R159">
        <v>2024</v>
      </c>
      <c r="S159" t="s">
        <v>487</v>
      </c>
    </row>
    <row r="160" spans="1:19" x14ac:dyDescent="0.25">
      <c r="A160" t="s">
        <v>388</v>
      </c>
      <c r="B160">
        <v>81.318200599111506</v>
      </c>
      <c r="C160">
        <v>158</v>
      </c>
      <c r="D160">
        <f t="shared" si="15"/>
        <v>4.3983698611064712</v>
      </c>
      <c r="E160">
        <f t="shared" si="16"/>
        <v>3.6868781121273022</v>
      </c>
      <c r="F160">
        <f t="shared" si="17"/>
        <v>39.920026374515551</v>
      </c>
      <c r="G160">
        <f t="shared" si="18"/>
        <v>1713.808829130001</v>
      </c>
      <c r="H160">
        <f t="shared" si="19"/>
        <v>0.62340906023614995</v>
      </c>
      <c r="I160">
        <f t="shared" si="19"/>
        <v>6.0950539146832497E-3</v>
      </c>
      <c r="S160" t="s">
        <v>488</v>
      </c>
    </row>
    <row r="161" spans="1:19" x14ac:dyDescent="0.25">
      <c r="A161" t="s">
        <v>389</v>
      </c>
      <c r="B161">
        <v>71.814275384774206</v>
      </c>
      <c r="C161">
        <v>159</v>
      </c>
      <c r="D161">
        <f t="shared" si="15"/>
        <v>4.2740832778067617</v>
      </c>
      <c r="E161">
        <f t="shared" si="16"/>
        <v>3.6880178322188537</v>
      </c>
      <c r="F161">
        <f t="shared" si="17"/>
        <v>39.965549967779012</v>
      </c>
      <c r="G161">
        <f t="shared" si="18"/>
        <v>1014.3413106871557</v>
      </c>
      <c r="H161">
        <f t="shared" si="19"/>
        <v>0.44259214546606479</v>
      </c>
      <c r="I161">
        <f t="shared" si="19"/>
        <v>6.2743106551011859E-3</v>
      </c>
      <c r="S161" t="s">
        <v>489</v>
      </c>
    </row>
    <row r="162" spans="1:19" x14ac:dyDescent="0.25">
      <c r="A162" t="s">
        <v>390</v>
      </c>
      <c r="B162">
        <v>71.638853283375894</v>
      </c>
      <c r="C162">
        <v>160</v>
      </c>
      <c r="D162">
        <f t="shared" si="15"/>
        <v>4.2716375704113592</v>
      </c>
      <c r="E162">
        <f t="shared" si="16"/>
        <v>3.6891575523104057</v>
      </c>
      <c r="F162">
        <f t="shared" si="17"/>
        <v>40.01112547477431</v>
      </c>
      <c r="G162">
        <f t="shared" si="18"/>
        <v>1000.31316633499</v>
      </c>
      <c r="H162">
        <f t="shared" si="19"/>
        <v>0.43934398612373327</v>
      </c>
      <c r="I162">
        <f t="shared" si="19"/>
        <v>6.4561653192933667E-3</v>
      </c>
      <c r="S162" t="s">
        <v>490</v>
      </c>
    </row>
    <row r="163" spans="1:19" x14ac:dyDescent="0.25">
      <c r="A163" t="s">
        <v>391</v>
      </c>
      <c r="B163">
        <v>73.950190983683797</v>
      </c>
      <c r="C163">
        <v>161</v>
      </c>
      <c r="D163">
        <f t="shared" ref="D163:D180" si="20">LN(B163)</f>
        <v>4.3033917717590695</v>
      </c>
      <c r="E163">
        <f t="shared" ref="E163:E180" si="21">SLOPE($D$3:$D$182,$C$3:$C$182)*$C163+INTERCEPT($D$3:$D$182,$C$3:$C$182)</f>
        <v>3.6902972724019576</v>
      </c>
      <c r="F163">
        <f t="shared" si="17"/>
        <v>40.056752954702283</v>
      </c>
      <c r="G163">
        <f t="shared" si="18"/>
        <v>1148.7651414244103</v>
      </c>
      <c r="H163">
        <f t="shared" si="19"/>
        <v>0.48244760805722603</v>
      </c>
      <c r="I163">
        <f t="shared" si="19"/>
        <v>6.6406179072597219E-3</v>
      </c>
      <c r="S163" t="s">
        <v>491</v>
      </c>
    </row>
    <row r="164" spans="1:19" x14ac:dyDescent="0.25">
      <c r="A164" t="s">
        <v>392</v>
      </c>
      <c r="B164">
        <v>69.187228850325297</v>
      </c>
      <c r="C164">
        <v>162</v>
      </c>
      <c r="D164">
        <f t="shared" si="20"/>
        <v>4.2368162914053542</v>
      </c>
      <c r="E164">
        <f t="shared" si="21"/>
        <v>3.6914369924935091</v>
      </c>
      <c r="F164">
        <f t="shared" si="17"/>
        <v>40.102432466831296</v>
      </c>
      <c r="G164">
        <f t="shared" si="18"/>
        <v>845.92538066930581</v>
      </c>
      <c r="H164">
        <f t="shared" si="19"/>
        <v>0.39439531105108394</v>
      </c>
      <c r="I164">
        <f t="shared" si="19"/>
        <v>6.8276684190001777E-3</v>
      </c>
      <c r="S164" t="s">
        <v>492</v>
      </c>
    </row>
    <row r="165" spans="1:19" x14ac:dyDescent="0.25">
      <c r="A165" t="s">
        <v>393</v>
      </c>
      <c r="B165">
        <v>68.251850891257007</v>
      </c>
      <c r="C165">
        <v>163</v>
      </c>
      <c r="D165">
        <f t="shared" si="20"/>
        <v>4.223204552983165</v>
      </c>
      <c r="E165">
        <f t="shared" si="21"/>
        <v>3.692576712585061</v>
      </c>
      <c r="F165">
        <f t="shared" si="17"/>
        <v>40.148164070497302</v>
      </c>
      <c r="G165">
        <f t="shared" si="18"/>
        <v>789.81721291934275</v>
      </c>
      <c r="H165">
        <f t="shared" si="19"/>
        <v>0.3774840018533242</v>
      </c>
      <c r="I165">
        <f t="shared" si="19"/>
        <v>7.0173168545148799E-3</v>
      </c>
      <c r="S165" t="s">
        <v>493</v>
      </c>
    </row>
    <row r="166" spans="1:19" x14ac:dyDescent="0.25">
      <c r="A166" t="s">
        <v>394</v>
      </c>
      <c r="B166">
        <v>65.288503253795994</v>
      </c>
      <c r="C166">
        <v>164</v>
      </c>
      <c r="D166">
        <f t="shared" si="20"/>
        <v>4.1788159603500139</v>
      </c>
      <c r="E166">
        <f t="shared" si="21"/>
        <v>3.693716432676613</v>
      </c>
      <c r="F166">
        <f t="shared" si="17"/>
        <v>40.193947825103912</v>
      </c>
      <c r="G166">
        <f t="shared" si="18"/>
        <v>629.73671216369928</v>
      </c>
      <c r="H166">
        <f t="shared" si="19"/>
        <v>0.32490988899841833</v>
      </c>
      <c r="I166">
        <f t="shared" si="19"/>
        <v>7.2095632138037572E-3</v>
      </c>
      <c r="S166" t="s">
        <v>531</v>
      </c>
    </row>
    <row r="167" spans="1:19" x14ac:dyDescent="0.25">
      <c r="A167" t="s">
        <v>395</v>
      </c>
      <c r="B167">
        <v>64.630539200495704</v>
      </c>
      <c r="C167">
        <v>165</v>
      </c>
      <c r="D167">
        <f t="shared" si="20"/>
        <v>4.1686870421224986</v>
      </c>
      <c r="E167">
        <f t="shared" si="21"/>
        <v>3.6948561527681645</v>
      </c>
      <c r="F167">
        <f t="shared" si="17"/>
        <v>40.239783790122495</v>
      </c>
      <c r="G167">
        <f t="shared" si="18"/>
        <v>594.90894948865002</v>
      </c>
      <c r="H167">
        <f t="shared" si="19"/>
        <v>0.31346534147702959</v>
      </c>
      <c r="I167">
        <f t="shared" si="19"/>
        <v>7.4044074968667318E-3</v>
      </c>
      <c r="S167" t="s">
        <v>495</v>
      </c>
    </row>
    <row r="168" spans="1:19" x14ac:dyDescent="0.25">
      <c r="A168" t="s">
        <v>396</v>
      </c>
      <c r="B168">
        <v>66.511081769310394</v>
      </c>
      <c r="C168">
        <v>166</v>
      </c>
      <c r="D168">
        <f t="shared" si="20"/>
        <v>4.1973685769259061</v>
      </c>
      <c r="E168">
        <f t="shared" si="21"/>
        <v>3.6959958728597164</v>
      </c>
      <c r="F168">
        <f t="shared" si="17"/>
        <v>40.285672025092225</v>
      </c>
      <c r="G168">
        <f t="shared" si="18"/>
        <v>687.77211625213329</v>
      </c>
      <c r="H168">
        <f t="shared" si="19"/>
        <v>0.34640439334587025</v>
      </c>
      <c r="I168">
        <f t="shared" si="19"/>
        <v>7.6018497037039562E-3</v>
      </c>
      <c r="S168" t="s">
        <v>496</v>
      </c>
    </row>
    <row r="169" spans="1:19" x14ac:dyDescent="0.25">
      <c r="A169" t="s">
        <v>397</v>
      </c>
      <c r="B169">
        <v>63.158777502324</v>
      </c>
      <c r="C169">
        <v>167</v>
      </c>
      <c r="D169">
        <f t="shared" si="20"/>
        <v>4.145651833632102</v>
      </c>
      <c r="E169">
        <f t="shared" si="21"/>
        <v>3.6971355929512684</v>
      </c>
      <c r="F169">
        <f t="shared" si="17"/>
        <v>40.331612589620171</v>
      </c>
      <c r="G169">
        <f t="shared" si="18"/>
        <v>521.07945795177682</v>
      </c>
      <c r="H169">
        <f t="shared" si="19"/>
        <v>0.28820206847692331</v>
      </c>
      <c r="I169">
        <f t="shared" si="19"/>
        <v>7.8018898343153557E-3</v>
      </c>
      <c r="S169" t="s">
        <v>497</v>
      </c>
    </row>
    <row r="170" spans="1:19" x14ac:dyDescent="0.25">
      <c r="A170" t="s">
        <v>398</v>
      </c>
      <c r="B170">
        <v>60.219976336028303</v>
      </c>
      <c r="C170">
        <v>168</v>
      </c>
      <c r="D170">
        <f t="shared" si="20"/>
        <v>4.0980041300948304</v>
      </c>
      <c r="E170">
        <f t="shared" si="21"/>
        <v>3.6982753130428199</v>
      </c>
      <c r="F170">
        <f t="shared" si="17"/>
        <v>40.377605543381385</v>
      </c>
      <c r="G170">
        <f t="shared" si="18"/>
        <v>393.71967867288748</v>
      </c>
      <c r="H170">
        <f t="shared" si="19"/>
        <v>0.23931355241322677</v>
      </c>
      <c r="I170">
        <f t="shared" si="19"/>
        <v>8.0045278887008499E-3</v>
      </c>
      <c r="S170" t="s">
        <v>498</v>
      </c>
    </row>
    <row r="171" spans="1:19" x14ac:dyDescent="0.25">
      <c r="A171" t="s">
        <v>399</v>
      </c>
      <c r="B171">
        <v>58.9595515420163</v>
      </c>
      <c r="C171">
        <v>169</v>
      </c>
      <c r="D171">
        <f t="shared" si="20"/>
        <v>4.0768516417126754</v>
      </c>
      <c r="E171">
        <f t="shared" si="21"/>
        <v>3.6994150331343718</v>
      </c>
      <c r="F171">
        <f t="shared" si="17"/>
        <v>40.423650946118975</v>
      </c>
      <c r="G171">
        <f t="shared" si="18"/>
        <v>343.57961090098678</v>
      </c>
      <c r="H171">
        <f t="shared" si="19"/>
        <v>0.21906551904928662</v>
      </c>
      <c r="I171">
        <f t="shared" si="19"/>
        <v>8.2097638668605956E-3</v>
      </c>
      <c r="R171">
        <v>2025</v>
      </c>
      <c r="S171" t="s">
        <v>487</v>
      </c>
    </row>
    <row r="172" spans="1:19" x14ac:dyDescent="0.25">
      <c r="A172" t="s">
        <v>400</v>
      </c>
      <c r="B172">
        <v>54.315509761388199</v>
      </c>
      <c r="C172">
        <v>170</v>
      </c>
      <c r="D172">
        <f t="shared" si="20"/>
        <v>3.9948098171199238</v>
      </c>
      <c r="E172">
        <f t="shared" si="21"/>
        <v>3.7005547532259238</v>
      </c>
      <c r="F172">
        <f t="shared" si="17"/>
        <v>40.469748857644163</v>
      </c>
      <c r="G172">
        <f t="shared" si="18"/>
        <v>191.70509500364687</v>
      </c>
      <c r="H172">
        <f t="shared" si="19"/>
        <v>0.14899795414215347</v>
      </c>
      <c r="I172">
        <f t="shared" si="19"/>
        <v>8.4175977687945165E-3</v>
      </c>
      <c r="S172" t="s">
        <v>488</v>
      </c>
    </row>
    <row r="173" spans="1:19" x14ac:dyDescent="0.25">
      <c r="A173" t="s">
        <v>401</v>
      </c>
      <c r="B173">
        <v>51.834869848156103</v>
      </c>
      <c r="C173">
        <v>171</v>
      </c>
      <c r="D173">
        <f t="shared" si="20"/>
        <v>3.9480630858846095</v>
      </c>
      <c r="E173">
        <f t="shared" si="21"/>
        <v>3.7016944733174757</v>
      </c>
      <c r="F173">
        <f t="shared" si="17"/>
        <v>40.515899337836387</v>
      </c>
      <c r="G173">
        <f t="shared" si="18"/>
        <v>128.11909341348735</v>
      </c>
      <c r="H173">
        <f t="shared" si="19"/>
        <v>0.11509449785304927</v>
      </c>
      <c r="I173">
        <f t="shared" si="19"/>
        <v>8.6280295945026127E-3</v>
      </c>
      <c r="S173" t="s">
        <v>489</v>
      </c>
    </row>
    <row r="174" spans="1:19" x14ac:dyDescent="0.25">
      <c r="A174" t="s">
        <v>402</v>
      </c>
      <c r="B174">
        <v>52.685133602839599</v>
      </c>
      <c r="C174">
        <v>172</v>
      </c>
      <c r="D174">
        <f t="shared" si="20"/>
        <v>3.9643333209283096</v>
      </c>
      <c r="E174">
        <f t="shared" si="21"/>
        <v>3.7028341934090272</v>
      </c>
      <c r="F174">
        <f t="shared" si="17"/>
        <v>40.562102446643372</v>
      </c>
      <c r="G174">
        <f t="shared" si="18"/>
        <v>146.96788441410442</v>
      </c>
      <c r="H174">
        <f t="shared" si="19"/>
        <v>0.12639876161423436</v>
      </c>
      <c r="I174">
        <f t="shared" si="19"/>
        <v>8.8410593439847973E-3</v>
      </c>
      <c r="S174" t="s">
        <v>490</v>
      </c>
    </row>
    <row r="175" spans="1:19" x14ac:dyDescent="0.25">
      <c r="A175" t="s">
        <v>403</v>
      </c>
      <c r="B175">
        <v>57.305573358311896</v>
      </c>
      <c r="C175">
        <v>173</v>
      </c>
      <c r="D175">
        <f t="shared" si="20"/>
        <v>4.048397885278801</v>
      </c>
      <c r="E175">
        <f t="shared" si="21"/>
        <v>3.7039739135005791</v>
      </c>
      <c r="F175">
        <f t="shared" si="17"/>
        <v>40.608358244081195</v>
      </c>
      <c r="G175">
        <f t="shared" si="18"/>
        <v>278.79699257089419</v>
      </c>
      <c r="H175">
        <f t="shared" si="19"/>
        <v>0.19323989510089407</v>
      </c>
      <c r="I175">
        <f t="shared" si="19"/>
        <v>9.0566870172412405E-3</v>
      </c>
      <c r="S175" t="s">
        <v>491</v>
      </c>
    </row>
    <row r="176" spans="1:19" x14ac:dyDescent="0.25">
      <c r="A176" t="s">
        <v>404</v>
      </c>
      <c r="B176">
        <v>59.576528767689197</v>
      </c>
      <c r="C176">
        <v>174</v>
      </c>
      <c r="D176">
        <f t="shared" si="20"/>
        <v>4.0872616838840843</v>
      </c>
      <c r="E176">
        <f t="shared" si="21"/>
        <v>3.7051136335921306</v>
      </c>
      <c r="F176">
        <f t="shared" si="17"/>
        <v>40.654666790234387</v>
      </c>
      <c r="G176">
        <f t="shared" si="18"/>
        <v>358.03686069385009</v>
      </c>
      <c r="H176">
        <f t="shared" si="19"/>
        <v>0.22891861099241281</v>
      </c>
      <c r="I176">
        <f t="shared" si="19"/>
        <v>9.2749126142717721E-3</v>
      </c>
      <c r="S176" t="s">
        <v>492</v>
      </c>
    </row>
    <row r="177" spans="1:19" x14ac:dyDescent="0.25">
      <c r="A177" t="s">
        <v>405</v>
      </c>
      <c r="B177">
        <v>58.9472554937281</v>
      </c>
      <c r="C177">
        <v>175</v>
      </c>
      <c r="D177">
        <f t="shared" si="20"/>
        <v>4.0766430693894664</v>
      </c>
      <c r="E177">
        <f t="shared" si="21"/>
        <v>3.7062533536836826</v>
      </c>
      <c r="F177">
        <f t="shared" si="17"/>
        <v>40.701028145255982</v>
      </c>
      <c r="G177">
        <f t="shared" si="18"/>
        <v>332.92481245213185</v>
      </c>
      <c r="H177">
        <f t="shared" si="19"/>
        <v>0.21887032035436885</v>
      </c>
      <c r="I177">
        <f t="shared" si="19"/>
        <v>9.4957361350765639E-3</v>
      </c>
      <c r="S177" t="s">
        <v>493</v>
      </c>
    </row>
    <row r="178" spans="1:19" x14ac:dyDescent="0.25">
      <c r="A178" t="s">
        <v>406</v>
      </c>
      <c r="B178">
        <v>58.966661501910799</v>
      </c>
      <c r="C178">
        <v>176</v>
      </c>
      <c r="D178">
        <f t="shared" si="20"/>
        <v>4.0769722249099063</v>
      </c>
      <c r="E178">
        <f t="shared" si="21"/>
        <v>3.7073930737752345</v>
      </c>
      <c r="F178">
        <f t="shared" si="17"/>
        <v>40.747442369367633</v>
      </c>
      <c r="G178">
        <f t="shared" si="18"/>
        <v>331.93994579962697</v>
      </c>
      <c r="H178">
        <f t="shared" si="19"/>
        <v>0.21917841015934419</v>
      </c>
      <c r="I178">
        <f t="shared" si="19"/>
        <v>9.7191575796555275E-3</v>
      </c>
      <c r="S178" t="s">
        <v>531</v>
      </c>
    </row>
    <row r="179" spans="1:19" x14ac:dyDescent="0.25">
      <c r="A179" t="s">
        <v>407</v>
      </c>
      <c r="B179">
        <v>62.875443699467397</v>
      </c>
      <c r="C179">
        <v>177</v>
      </c>
      <c r="D179">
        <f t="shared" si="20"/>
        <v>4.1411556852453799</v>
      </c>
      <c r="E179">
        <f t="shared" si="21"/>
        <v>3.7085327938667865</v>
      </c>
      <c r="F179">
        <f t="shared" si="17"/>
        <v>40.793909522859643</v>
      </c>
      <c r="G179">
        <f t="shared" si="18"/>
        <v>487.59415159269628</v>
      </c>
      <c r="H179">
        <f t="shared" si="19"/>
        <v>0.28339481833243063</v>
      </c>
      <c r="I179">
        <f t="shared" si="19"/>
        <v>9.9451769480086681E-3</v>
      </c>
      <c r="S179" t="s">
        <v>495</v>
      </c>
    </row>
    <row r="180" spans="1:19" x14ac:dyDescent="0.25">
      <c r="A180" t="s">
        <v>408</v>
      </c>
      <c r="B180">
        <v>63.958773460341298</v>
      </c>
      <c r="C180">
        <v>178</v>
      </c>
      <c r="D180">
        <f t="shared" si="20"/>
        <v>4.1582387111142944</v>
      </c>
      <c r="E180">
        <f t="shared" si="21"/>
        <v>3.709672513958338</v>
      </c>
      <c r="F180">
        <f t="shared" si="17"/>
        <v>40.840429666091083</v>
      </c>
      <c r="G180">
        <f t="shared" si="18"/>
        <v>534.45781978914749</v>
      </c>
      <c r="H180">
        <f t="shared" si="19"/>
        <v>0.30187489106135657</v>
      </c>
      <c r="I180">
        <f t="shared" si="19"/>
        <v>1.0173794240135892E-2</v>
      </c>
      <c r="S180" t="s">
        <v>496</v>
      </c>
    </row>
    <row r="181" spans="1:19" x14ac:dyDescent="0.25">
      <c r="R181" s="60"/>
      <c r="S181" s="60" t="s">
        <v>497</v>
      </c>
    </row>
    <row r="182" spans="1:19" x14ac:dyDescent="0.25">
      <c r="G182" s="8" t="s">
        <v>450</v>
      </c>
      <c r="H182" s="8" t="s">
        <v>451</v>
      </c>
      <c r="I182" s="8" t="s">
        <v>452</v>
      </c>
      <c r="R182" s="60"/>
      <c r="S182" s="60" t="s">
        <v>498</v>
      </c>
    </row>
    <row r="183" spans="1:19" x14ac:dyDescent="0.25">
      <c r="G183" s="27">
        <f>SUM(G3:G180)</f>
        <v>35281.49353441385</v>
      </c>
      <c r="H183">
        <f>SUM(H3:H180)</f>
        <v>22.061379755289135</v>
      </c>
      <c r="I183">
        <f>SUM(I3:I180)</f>
        <v>0.6104659737838215</v>
      </c>
      <c r="R183" s="60">
        <v>2026</v>
      </c>
      <c r="S183" s="60" t="s">
        <v>487</v>
      </c>
    </row>
    <row r="184" spans="1:19" x14ac:dyDescent="0.25">
      <c r="H184" s="10" t="s">
        <v>449</v>
      </c>
      <c r="I184" s="10">
        <f>I183/H183</f>
        <v>2.7671250871671549E-2</v>
      </c>
      <c r="R184" s="60"/>
      <c r="S184" s="60" t="s">
        <v>488</v>
      </c>
    </row>
    <row r="185" spans="1:19" x14ac:dyDescent="0.25">
      <c r="R185" s="60"/>
      <c r="S185" s="60" t="s">
        <v>489</v>
      </c>
    </row>
    <row r="186" spans="1:19" x14ac:dyDescent="0.25">
      <c r="R186" s="60"/>
      <c r="S186" s="60" t="s">
        <v>490</v>
      </c>
    </row>
    <row r="187" spans="1:19" x14ac:dyDescent="0.25">
      <c r="R187" s="60"/>
      <c r="S187" s="60" t="s">
        <v>491</v>
      </c>
    </row>
    <row r="188" spans="1:19" x14ac:dyDescent="0.25">
      <c r="R188" s="60"/>
      <c r="S188" s="60" t="s">
        <v>492</v>
      </c>
    </row>
    <row r="189" spans="1:19" x14ac:dyDescent="0.25">
      <c r="R189" s="60"/>
      <c r="S189" s="60" t="s">
        <v>493</v>
      </c>
    </row>
    <row r="190" spans="1:19" x14ac:dyDescent="0.25">
      <c r="R190" s="60"/>
      <c r="S190" s="60" t="s">
        <v>531</v>
      </c>
    </row>
    <row r="191" spans="1:19" x14ac:dyDescent="0.25">
      <c r="R191" s="60"/>
      <c r="S191" s="60" t="s">
        <v>495</v>
      </c>
    </row>
    <row r="192" spans="1:19" x14ac:dyDescent="0.25">
      <c r="R192" s="60"/>
      <c r="S192" s="60" t="s">
        <v>496</v>
      </c>
    </row>
    <row r="193" spans="18:19" x14ac:dyDescent="0.25">
      <c r="R193" s="60"/>
      <c r="S193" s="60" t="s">
        <v>497</v>
      </c>
    </row>
    <row r="194" spans="18:19" x14ac:dyDescent="0.25">
      <c r="R194" s="60"/>
      <c r="S194" s="60" t="s">
        <v>498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F670-A753-4DB2-8C47-3102A0EA9D7B}">
  <dimension ref="A1:Q184"/>
  <sheetViews>
    <sheetView topLeftCell="B149" zoomScaleNormal="100" workbookViewId="0">
      <selection activeCell="M1" sqref="M1"/>
    </sheetView>
  </sheetViews>
  <sheetFormatPr baseColWidth="10" defaultColWidth="9" defaultRowHeight="15" x14ac:dyDescent="0.25"/>
  <cols>
    <col min="1" max="1" width="12.85546875" bestFit="1" customWidth="1"/>
    <col min="2" max="2" width="11.5703125" bestFit="1" customWidth="1"/>
    <col min="3" max="3" width="10.28515625" bestFit="1" customWidth="1"/>
    <col min="4" max="4" width="9.7109375" bestFit="1" customWidth="1"/>
    <col min="7" max="9" width="12.5703125" bestFit="1" customWidth="1"/>
    <col min="11" max="11" width="17.5703125" bestFit="1" customWidth="1"/>
    <col min="12" max="14" width="13.7109375" customWidth="1"/>
    <col min="15" max="15" width="12.5703125" bestFit="1" customWidth="1"/>
    <col min="16" max="16" width="10.7109375" customWidth="1"/>
  </cols>
  <sheetData>
    <row r="1" spans="1:17" ht="76.5" customHeight="1" x14ac:dyDescent="0.25">
      <c r="B1" s="28" t="s">
        <v>474</v>
      </c>
      <c r="C1" s="7"/>
      <c r="D1" s="7"/>
      <c r="E1" s="7"/>
      <c r="F1" s="7"/>
      <c r="G1" s="56" t="s">
        <v>475</v>
      </c>
      <c r="H1" s="56"/>
      <c r="I1" s="56"/>
      <c r="J1" s="7"/>
      <c r="K1" s="7"/>
      <c r="L1" s="7"/>
      <c r="M1" s="7"/>
      <c r="N1" s="7"/>
      <c r="P1" s="59" t="s">
        <v>476</v>
      </c>
      <c r="Q1" s="59"/>
    </row>
    <row r="2" spans="1:17" ht="30" customHeight="1" x14ac:dyDescent="0.25">
      <c r="B2" s="7" t="s">
        <v>427</v>
      </c>
      <c r="C2" s="7"/>
      <c r="D2" s="7"/>
      <c r="E2" s="7"/>
      <c r="F2" s="7"/>
      <c r="G2" s="28" t="s">
        <v>477</v>
      </c>
      <c r="H2" s="28" t="s">
        <v>478</v>
      </c>
      <c r="I2" s="28" t="s">
        <v>479</v>
      </c>
      <c r="J2" s="7"/>
      <c r="K2" s="57" t="s">
        <v>481</v>
      </c>
      <c r="L2" s="57"/>
      <c r="M2" s="57"/>
      <c r="N2" s="57"/>
      <c r="P2" s="58" t="s">
        <v>480</v>
      </c>
      <c r="Q2" s="58"/>
    </row>
    <row r="3" spans="1:17" x14ac:dyDescent="0.25">
      <c r="B3" s="7" t="s">
        <v>427</v>
      </c>
      <c r="C3" s="7"/>
      <c r="D3" s="7"/>
      <c r="E3" s="7"/>
      <c r="F3" s="7"/>
      <c r="G3" s="15" t="s">
        <v>482</v>
      </c>
      <c r="H3" s="16" t="s">
        <v>483</v>
      </c>
      <c r="I3" s="17" t="s">
        <v>484</v>
      </c>
      <c r="J3" s="7"/>
      <c r="K3" s="7"/>
      <c r="L3" s="15" t="s">
        <v>482</v>
      </c>
      <c r="M3" s="16" t="s">
        <v>483</v>
      </c>
      <c r="N3" s="17" t="s">
        <v>484</v>
      </c>
    </row>
    <row r="4" spans="1:17" ht="15" customHeight="1" x14ac:dyDescent="0.25">
      <c r="A4" s="22" t="s">
        <v>0</v>
      </c>
      <c r="B4" s="23" t="s">
        <v>409</v>
      </c>
      <c r="C4" s="7" t="s">
        <v>410</v>
      </c>
      <c r="D4" s="7" t="s">
        <v>485</v>
      </c>
      <c r="E4" s="7" t="s">
        <v>486</v>
      </c>
      <c r="F4" s="7"/>
      <c r="G4" s="15">
        <v>0.2</v>
      </c>
      <c r="H4" s="16">
        <v>0.5</v>
      </c>
      <c r="I4" s="17">
        <v>0.8</v>
      </c>
      <c r="J4" s="7"/>
      <c r="K4" s="7"/>
      <c r="L4" s="7"/>
      <c r="M4" s="7"/>
      <c r="N4" s="7"/>
    </row>
    <row r="5" spans="1:17" x14ac:dyDescent="0.25">
      <c r="A5" s="18" t="s">
        <v>231</v>
      </c>
      <c r="B5" s="19" t="str">
        <f>LEFT(TRIM(dataset_2025_11_17T13_30_33_170025752Z_DEFAULT_INTEGRATION_IMF_RES_PCPS_9_0_0[[#This Row],[TIME_PERIOD]]),4)</f>
        <v>2011</v>
      </c>
      <c r="C5" s="7" t="s">
        <v>487</v>
      </c>
      <c r="D5">
        <v>63.875</v>
      </c>
      <c r="E5" s="7">
        <v>1</v>
      </c>
      <c r="F5" s="7"/>
    </row>
    <row r="6" spans="1:17" x14ac:dyDescent="0.25">
      <c r="A6" s="20" t="s">
        <v>232</v>
      </c>
      <c r="B6" s="21" t="str">
        <f>LEFT(TRIM(dataset_2025_11_17T13_30_33_170025752Z_DEFAULT_INTEGRATION_IMF_RES_PCPS_9_0_0[[#This Row],[TIME_PERIOD]]),4)</f>
        <v>2011</v>
      </c>
      <c r="C6" s="7" t="s">
        <v>488</v>
      </c>
      <c r="D6">
        <v>65</v>
      </c>
      <c r="E6" s="7">
        <v>2</v>
      </c>
      <c r="F6" s="7"/>
      <c r="G6" s="1">
        <f>D5</f>
        <v>63.875</v>
      </c>
      <c r="H6" s="1">
        <f>D5</f>
        <v>63.875</v>
      </c>
      <c r="I6" s="1">
        <f>D5</f>
        <v>63.875</v>
      </c>
      <c r="J6" s="1"/>
      <c r="K6" s="32"/>
      <c r="L6" s="1">
        <f t="shared" ref="L6:L37" si="0">(G6-$D6)^2</f>
        <v>1.265625</v>
      </c>
      <c r="M6" s="1">
        <f t="shared" ref="M6:M37" si="1">(H6-$D6)^2</f>
        <v>1.265625</v>
      </c>
      <c r="N6" s="1">
        <f t="shared" ref="N6:N37" si="2">(I6-$D6)^2</f>
        <v>1.265625</v>
      </c>
    </row>
    <row r="7" spans="1:17" x14ac:dyDescent="0.25">
      <c r="A7" s="18" t="s">
        <v>233</v>
      </c>
      <c r="B7" s="19" t="str">
        <f>LEFT(TRIM(dataset_2025_11_17T13_30_33_170025752Z_DEFAULT_INTEGRATION_IMF_RES_PCPS_9_0_0[[#This Row],[TIME_PERIOD]]),4)</f>
        <v>2011</v>
      </c>
      <c r="C7" s="7" t="s">
        <v>489</v>
      </c>
      <c r="D7">
        <v>63.5</v>
      </c>
      <c r="E7" s="7">
        <v>3</v>
      </c>
      <c r="F7" s="7"/>
      <c r="G7" s="1">
        <f>$G$4*G6+(1-$G$4)*D6</f>
        <v>64.775000000000006</v>
      </c>
      <c r="H7" s="1">
        <f>$H$4*G6+(1-$H$4)*D6</f>
        <v>64.4375</v>
      </c>
      <c r="I7" s="1">
        <f>$I$4*G6+(1-$I$4)*D6</f>
        <v>64.099999999999994</v>
      </c>
      <c r="J7" s="1"/>
      <c r="K7" s="32"/>
      <c r="L7" s="1">
        <f t="shared" si="0"/>
        <v>1.6256250000000145</v>
      </c>
      <c r="M7" s="1">
        <f t="shared" si="1"/>
        <v>0.87890625</v>
      </c>
      <c r="N7" s="1">
        <f t="shared" si="2"/>
        <v>0.35999999999999316</v>
      </c>
    </row>
    <row r="8" spans="1:17" x14ac:dyDescent="0.25">
      <c r="A8" s="20" t="s">
        <v>234</v>
      </c>
      <c r="B8" s="21" t="str">
        <f>LEFT(TRIM(dataset_2025_11_17T13_30_33_170025752Z_DEFAULT_INTEGRATION_IMF_RES_PCPS_9_0_0[[#This Row],[TIME_PERIOD]]),4)</f>
        <v>2011</v>
      </c>
      <c r="C8" s="7" t="s">
        <v>490</v>
      </c>
      <c r="D8">
        <v>57.821428571428598</v>
      </c>
      <c r="E8" s="7">
        <v>4</v>
      </c>
      <c r="F8" s="7"/>
      <c r="G8" s="1">
        <f t="shared" ref="G8:G71" si="3">$G$4*G7+(1-$G$4)*D7</f>
        <v>63.75500000000001</v>
      </c>
      <c r="H8" s="1">
        <f t="shared" ref="H8:H71" si="4">$H$4*G7+(1-$H$4)*D7</f>
        <v>64.137500000000003</v>
      </c>
      <c r="I8" s="1">
        <f t="shared" ref="I8:I71" si="5">$I$4*G7+(1-$I$4)*D7</f>
        <v>64.52000000000001</v>
      </c>
      <c r="J8" s="1"/>
      <c r="K8" s="32"/>
      <c r="L8" s="1">
        <f t="shared" si="0"/>
        <v>35.207269897958987</v>
      </c>
      <c r="M8" s="1">
        <f t="shared" si="1"/>
        <v>39.892758290816026</v>
      </c>
      <c r="N8" s="1">
        <f t="shared" si="2"/>
        <v>44.870859183673254</v>
      </c>
    </row>
    <row r="9" spans="1:17" x14ac:dyDescent="0.25">
      <c r="A9" s="18" t="s">
        <v>235</v>
      </c>
      <c r="B9" s="19" t="str">
        <f>LEFT(TRIM(dataset_2025_11_17T13_30_33_170025752Z_DEFAULT_INTEGRATION_IMF_RES_PCPS_9_0_0[[#This Row],[TIME_PERIOD]]),4)</f>
        <v>2011</v>
      </c>
      <c r="C9" s="7" t="s">
        <v>491</v>
      </c>
      <c r="D9">
        <v>56.0625</v>
      </c>
      <c r="E9" s="7">
        <v>5</v>
      </c>
      <c r="F9" s="7"/>
      <c r="G9" s="1">
        <f t="shared" si="3"/>
        <v>59.008142857142886</v>
      </c>
      <c r="H9" s="1">
        <f t="shared" si="4"/>
        <v>60.788214285714304</v>
      </c>
      <c r="I9" s="1">
        <f t="shared" si="5"/>
        <v>62.568285714285729</v>
      </c>
      <c r="J9" s="1"/>
      <c r="K9" s="32"/>
      <c r="L9" s="1">
        <f t="shared" si="0"/>
        <v>8.6768118418369031</v>
      </c>
      <c r="M9" s="1">
        <f t="shared" si="1"/>
        <v>22.332375510204251</v>
      </c>
      <c r="N9" s="1">
        <f t="shared" si="2"/>
        <v>42.32524776020427</v>
      </c>
    </row>
    <row r="10" spans="1:17" x14ac:dyDescent="0.25">
      <c r="A10" s="20" t="s">
        <v>236</v>
      </c>
      <c r="B10" s="21" t="str">
        <f>LEFT(TRIM(dataset_2025_11_17T13_30_33_170025752Z_DEFAULT_INTEGRATION_IMF_RES_PCPS_9_0_0[[#This Row],[TIME_PERIOD]]),4)</f>
        <v>2011</v>
      </c>
      <c r="C10" s="7" t="s">
        <v>492</v>
      </c>
      <c r="D10">
        <v>55.4</v>
      </c>
      <c r="E10" s="7">
        <v>6</v>
      </c>
      <c r="F10" s="7"/>
      <c r="G10" s="1">
        <f t="shared" si="3"/>
        <v>56.651628571428581</v>
      </c>
      <c r="H10" s="1">
        <f t="shared" si="4"/>
        <v>57.535321428571443</v>
      </c>
      <c r="I10" s="1">
        <f t="shared" si="5"/>
        <v>58.419014285714312</v>
      </c>
      <c r="J10" s="1"/>
      <c r="K10" s="32"/>
      <c r="L10" s="1">
        <f t="shared" si="0"/>
        <v>1.5665740808163551</v>
      </c>
      <c r="M10" s="1">
        <f t="shared" si="1"/>
        <v>4.5595976033163943</v>
      </c>
      <c r="N10" s="1">
        <f t="shared" si="2"/>
        <v>9.1144472573471038</v>
      </c>
    </row>
    <row r="11" spans="1:17" x14ac:dyDescent="0.25">
      <c r="A11" s="18" t="s">
        <v>237</v>
      </c>
      <c r="B11" s="19" t="str">
        <f>LEFT(TRIM(dataset_2025_11_17T13_30_33_170025752Z_DEFAULT_INTEGRATION_IMF_RES_PCPS_9_0_0[[#This Row],[TIME_PERIOD]]),4)</f>
        <v>2011</v>
      </c>
      <c r="C11" s="7" t="s">
        <v>493</v>
      </c>
      <c r="D11">
        <v>52.788888888888899</v>
      </c>
      <c r="E11" s="7">
        <v>7</v>
      </c>
      <c r="F11" s="7"/>
      <c r="G11" s="1">
        <f t="shared" si="3"/>
        <v>55.650325714285714</v>
      </c>
      <c r="H11" s="1">
        <f t="shared" si="4"/>
        <v>56.02581428571429</v>
      </c>
      <c r="I11" s="1">
        <f t="shared" si="5"/>
        <v>56.401302857142866</v>
      </c>
      <c r="J11" s="1"/>
      <c r="K11" s="32"/>
      <c r="L11" s="1">
        <f t="shared" si="0"/>
        <v>8.1878207057370034</v>
      </c>
      <c r="M11" s="1">
        <f t="shared" si="1"/>
        <v>10.477686024613218</v>
      </c>
      <c r="N11" s="1">
        <f t="shared" si="2"/>
        <v>13.049534678036379</v>
      </c>
    </row>
    <row r="12" spans="1:17" x14ac:dyDescent="0.25">
      <c r="A12" s="20" t="s">
        <v>238</v>
      </c>
      <c r="B12" s="21" t="str">
        <f>LEFT(TRIM(dataset_2025_11_17T13_30_33_170025752Z_DEFAULT_INTEGRATION_IMF_RES_PCPS_9_0_0[[#This Row],[TIME_PERIOD]]),4)</f>
        <v>2011</v>
      </c>
      <c r="C12" s="7" t="s">
        <v>494</v>
      </c>
      <c r="D12">
        <v>50.683333333333302</v>
      </c>
      <c r="E12" s="7">
        <v>8</v>
      </c>
      <c r="F12" s="7"/>
      <c r="G12" s="1">
        <f t="shared" si="3"/>
        <v>53.36117625396826</v>
      </c>
      <c r="H12" s="1">
        <f t="shared" si="4"/>
        <v>54.219607301587303</v>
      </c>
      <c r="I12" s="1">
        <f t="shared" si="5"/>
        <v>55.078038349206352</v>
      </c>
      <c r="J12" s="1"/>
      <c r="K12" s="32"/>
      <c r="L12" s="1">
        <f t="shared" si="0"/>
        <v>7.1708427075947645</v>
      </c>
      <c r="M12" s="1">
        <f t="shared" si="1"/>
        <v>12.505233578550898</v>
      </c>
      <c r="N12" s="1">
        <f t="shared" si="2"/>
        <v>19.313432176539749</v>
      </c>
    </row>
    <row r="13" spans="1:17" x14ac:dyDescent="0.25">
      <c r="A13" s="18" t="s">
        <v>239</v>
      </c>
      <c r="B13" s="19" t="str">
        <f>LEFT(TRIM(dataset_2025_11_17T13_30_33_170025752Z_DEFAULT_INTEGRATION_IMF_RES_PCPS_9_0_0[[#This Row],[TIME_PERIOD]]),4)</f>
        <v>2011</v>
      </c>
      <c r="C13" s="7" t="s">
        <v>495</v>
      </c>
      <c r="D13">
        <v>51.983333333333299</v>
      </c>
      <c r="E13" s="7">
        <v>9</v>
      </c>
      <c r="F13" s="7"/>
      <c r="G13" s="1">
        <f t="shared" si="3"/>
        <v>51.2189019174603</v>
      </c>
      <c r="H13" s="1">
        <f t="shared" si="4"/>
        <v>52.022254793650781</v>
      </c>
      <c r="I13" s="1">
        <f t="shared" si="5"/>
        <v>52.825607669841268</v>
      </c>
      <c r="J13" s="1"/>
      <c r="K13" s="32"/>
      <c r="L13" s="1">
        <f t="shared" si="0"/>
        <v>0.5843553895735969</v>
      </c>
      <c r="M13" s="1">
        <f t="shared" si="1"/>
        <v>1.5148800732453351E-3</v>
      </c>
      <c r="N13" s="1">
        <f t="shared" si="2"/>
        <v>0.70942605793994051</v>
      </c>
    </row>
    <row r="14" spans="1:17" x14ac:dyDescent="0.25">
      <c r="A14" s="20" t="s">
        <v>240</v>
      </c>
      <c r="B14" s="21" t="str">
        <f>LEFT(TRIM(dataset_2025_11_17T13_30_33_170025752Z_DEFAULT_INTEGRATION_IMF_RES_PCPS_9_0_0[[#This Row],[TIME_PERIOD]]),4)</f>
        <v>2012</v>
      </c>
      <c r="C14" s="7" t="s">
        <v>496</v>
      </c>
      <c r="D14">
        <v>52.337499999999999</v>
      </c>
      <c r="E14" s="7">
        <v>10</v>
      </c>
      <c r="F14" s="7"/>
      <c r="G14" s="1">
        <f t="shared" si="3"/>
        <v>51.830447050158703</v>
      </c>
      <c r="H14" s="1">
        <f t="shared" si="4"/>
        <v>51.601117625396796</v>
      </c>
      <c r="I14" s="1">
        <f t="shared" si="5"/>
        <v>51.371788200634896</v>
      </c>
      <c r="J14" s="1"/>
      <c r="K14" s="32"/>
      <c r="L14" s="1">
        <f t="shared" si="0"/>
        <v>0.25710269394275903</v>
      </c>
      <c r="M14" s="1">
        <f t="shared" si="1"/>
        <v>0.54225900162625129</v>
      </c>
      <c r="N14" s="1">
        <f t="shared" si="2"/>
        <v>0.93259927943298448</v>
      </c>
    </row>
    <row r="15" spans="1:17" x14ac:dyDescent="0.25">
      <c r="A15" s="18" t="s">
        <v>241</v>
      </c>
      <c r="B15" s="19" t="str">
        <f>LEFT(TRIM(dataset_2025_11_17T13_30_33_170025752Z_DEFAULT_INTEGRATION_IMF_RES_PCPS_9_0_0[[#This Row],[TIME_PERIOD]]),4)</f>
        <v>2012</v>
      </c>
      <c r="C15" s="7" t="s">
        <v>497</v>
      </c>
      <c r="D15">
        <v>53.1944444444444</v>
      </c>
      <c r="E15" s="7">
        <v>11</v>
      </c>
      <c r="F15" s="7"/>
      <c r="G15" s="1">
        <f t="shared" si="3"/>
        <v>52.236089410031745</v>
      </c>
      <c r="H15" s="1">
        <f t="shared" si="4"/>
        <v>52.083973525079351</v>
      </c>
      <c r="I15" s="1">
        <f t="shared" si="5"/>
        <v>51.931857640126964</v>
      </c>
      <c r="J15" s="1"/>
      <c r="K15" s="32"/>
      <c r="L15" s="1">
        <f t="shared" si="0"/>
        <v>0.91844437198408113</v>
      </c>
      <c r="M15" s="1">
        <f t="shared" si="1"/>
        <v>1.2331456627554578</v>
      </c>
      <c r="N15" s="1">
        <f t="shared" si="2"/>
        <v>1.5941254384365164</v>
      </c>
    </row>
    <row r="16" spans="1:17" x14ac:dyDescent="0.25">
      <c r="A16" s="20" t="s">
        <v>242</v>
      </c>
      <c r="B16" s="21" t="str">
        <f>LEFT(TRIM(dataset_2025_11_17T13_30_33_170025752Z_DEFAULT_INTEGRATION_IMF_RES_PCPS_9_0_0[[#This Row],[TIME_PERIOD]]),4)</f>
        <v>2012</v>
      </c>
      <c r="C16" s="7" t="s">
        <v>498</v>
      </c>
      <c r="D16">
        <v>52.178571428571402</v>
      </c>
      <c r="E16" s="7">
        <v>12</v>
      </c>
      <c r="F16" s="7"/>
      <c r="G16" s="1">
        <f t="shared" si="3"/>
        <v>53.002773437561871</v>
      </c>
      <c r="H16" s="1">
        <f t="shared" si="4"/>
        <v>52.715266927238076</v>
      </c>
      <c r="I16" s="1">
        <f t="shared" si="5"/>
        <v>52.427760416914275</v>
      </c>
      <c r="J16" s="1"/>
      <c r="K16" s="32"/>
      <c r="L16" s="1">
        <f t="shared" si="0"/>
        <v>0.67930895162392424</v>
      </c>
      <c r="M16" s="1">
        <f t="shared" si="1"/>
        <v>0.28804205828906998</v>
      </c>
      <c r="N16" s="1">
        <f t="shared" si="2"/>
        <v>6.2095151911344307E-2</v>
      </c>
    </row>
    <row r="17" spans="1:14" x14ac:dyDescent="0.25">
      <c r="A17" s="18" t="s">
        <v>243</v>
      </c>
      <c r="B17" s="19" t="str">
        <f>LEFT(TRIM(dataset_2025_11_17T13_30_33_170025752Z_DEFAULT_INTEGRATION_IMF_RES_PCPS_9_0_0[[#This Row],[TIME_PERIOD]]),4)</f>
        <v>2012</v>
      </c>
      <c r="C17" s="7" t="s">
        <v>487</v>
      </c>
      <c r="D17">
        <v>52.3125</v>
      </c>
      <c r="E17" s="7">
        <v>13</v>
      </c>
      <c r="F17" s="7"/>
      <c r="G17" s="1">
        <f t="shared" si="3"/>
        <v>52.343411830369504</v>
      </c>
      <c r="H17" s="1">
        <f t="shared" si="4"/>
        <v>52.590672433066636</v>
      </c>
      <c r="I17" s="1">
        <f t="shared" si="5"/>
        <v>52.837933035763776</v>
      </c>
      <c r="J17" s="1"/>
      <c r="K17" s="32"/>
      <c r="L17" s="1">
        <f t="shared" si="0"/>
        <v>9.5554125679301455E-4</v>
      </c>
      <c r="M17" s="1">
        <f t="shared" si="1"/>
        <v>7.7379902518212321E-2</v>
      </c>
      <c r="N17" s="1">
        <f t="shared" si="2"/>
        <v>0.27607987507193704</v>
      </c>
    </row>
    <row r="18" spans="1:14" x14ac:dyDescent="0.25">
      <c r="A18" s="20" t="s">
        <v>244</v>
      </c>
      <c r="B18" s="21" t="str">
        <f>LEFT(TRIM(dataset_2025_11_17T13_30_33_170025752Z_DEFAULT_INTEGRATION_IMF_RES_PCPS_9_0_0[[#This Row],[TIME_PERIOD]]),4)</f>
        <v>2012</v>
      </c>
      <c r="C18" s="7" t="s">
        <v>488</v>
      </c>
      <c r="D18">
        <v>52.0555555555556</v>
      </c>
      <c r="E18" s="7">
        <v>14</v>
      </c>
      <c r="F18" s="7"/>
      <c r="G18" s="1">
        <f t="shared" si="3"/>
        <v>52.318682366073901</v>
      </c>
      <c r="H18" s="1">
        <f t="shared" si="4"/>
        <v>52.327955915184752</v>
      </c>
      <c r="I18" s="1">
        <f t="shared" si="5"/>
        <v>52.337229464295604</v>
      </c>
      <c r="J18" s="1"/>
      <c r="K18" s="32"/>
      <c r="L18" s="1">
        <f t="shared" si="0"/>
        <v>6.9235718413533931E-2</v>
      </c>
      <c r="M18" s="1">
        <f t="shared" si="1"/>
        <v>7.4201955926091578E-2</v>
      </c>
      <c r="N18" s="1">
        <f t="shared" si="2"/>
        <v>7.9340190864871957E-2</v>
      </c>
    </row>
    <row r="19" spans="1:14" x14ac:dyDescent="0.25">
      <c r="A19" s="18" t="s">
        <v>245</v>
      </c>
      <c r="B19" s="19" t="str">
        <f>LEFT(TRIM(dataset_2025_11_17T13_30_33_170025752Z_DEFAULT_INTEGRATION_IMF_RES_PCPS_9_0_0[[#This Row],[TIME_PERIOD]]),4)</f>
        <v>2012</v>
      </c>
      <c r="C19" s="7" t="s">
        <v>489</v>
      </c>
      <c r="D19">
        <v>51.288888888888899</v>
      </c>
      <c r="E19" s="7">
        <v>15</v>
      </c>
      <c r="F19" s="7"/>
      <c r="G19" s="1">
        <f t="shared" si="3"/>
        <v>52.108180917659261</v>
      </c>
      <c r="H19" s="1">
        <f t="shared" si="4"/>
        <v>52.18711896081475</v>
      </c>
      <c r="I19" s="1">
        <f t="shared" si="5"/>
        <v>52.266057003970239</v>
      </c>
      <c r="J19" s="1"/>
      <c r="K19" s="32"/>
      <c r="L19" s="1">
        <f t="shared" si="0"/>
        <v>0.67123942840665718</v>
      </c>
      <c r="M19" s="1">
        <f t="shared" si="1"/>
        <v>0.80681726211192095</v>
      </c>
      <c r="N19" s="1">
        <f t="shared" si="2"/>
        <v>0.95485752513162037</v>
      </c>
    </row>
    <row r="20" spans="1:14" x14ac:dyDescent="0.25">
      <c r="A20" s="20" t="s">
        <v>246</v>
      </c>
      <c r="B20" s="21" t="str">
        <f>LEFT(TRIM(dataset_2025_11_17T13_30_33_170025752Z_DEFAULT_INTEGRATION_IMF_RES_PCPS_9_0_0[[#This Row],[TIME_PERIOD]]),4)</f>
        <v>2012</v>
      </c>
      <c r="C20" s="7" t="s">
        <v>490</v>
      </c>
      <c r="D20">
        <v>51.3</v>
      </c>
      <c r="E20" s="7">
        <v>16</v>
      </c>
      <c r="F20" s="7"/>
      <c r="G20" s="1">
        <f t="shared" si="3"/>
        <v>51.452747294642975</v>
      </c>
      <c r="H20" s="1">
        <f t="shared" si="4"/>
        <v>51.69853490327408</v>
      </c>
      <c r="I20" s="1">
        <f t="shared" si="5"/>
        <v>51.944322511905185</v>
      </c>
      <c r="J20" s="1"/>
      <c r="K20" s="32"/>
      <c r="L20" s="1">
        <f t="shared" si="0"/>
        <v>2.3331736020748797E-2</v>
      </c>
      <c r="M20" s="1">
        <f t="shared" si="1"/>
        <v>0.15883006912768255</v>
      </c>
      <c r="N20" s="1">
        <f t="shared" si="2"/>
        <v>0.41515149934781037</v>
      </c>
    </row>
    <row r="21" spans="1:14" x14ac:dyDescent="0.25">
      <c r="A21" s="18" t="s">
        <v>247</v>
      </c>
      <c r="B21" s="19" t="str">
        <f>LEFT(TRIM(dataset_2025_11_17T13_30_33_170025752Z_DEFAULT_INTEGRATION_IMF_RES_PCPS_9_0_0[[#This Row],[TIME_PERIOD]]),4)</f>
        <v>2012</v>
      </c>
      <c r="C21" s="7" t="s">
        <v>491</v>
      </c>
      <c r="D21">
        <v>51.8888888888889</v>
      </c>
      <c r="E21" s="7">
        <v>17</v>
      </c>
      <c r="F21" s="7"/>
      <c r="G21" s="1">
        <f t="shared" si="3"/>
        <v>51.330549458928594</v>
      </c>
      <c r="H21" s="1">
        <f t="shared" si="4"/>
        <v>51.376373647321486</v>
      </c>
      <c r="I21" s="1">
        <f t="shared" si="5"/>
        <v>51.422197835714378</v>
      </c>
      <c r="J21" s="1"/>
      <c r="K21" s="32"/>
      <c r="L21" s="1">
        <f t="shared" si="0"/>
        <v>0.31174291904839913</v>
      </c>
      <c r="M21" s="1">
        <f t="shared" si="1"/>
        <v>0.26267187283890442</v>
      </c>
      <c r="N21" s="1">
        <f t="shared" si="2"/>
        <v>0.21780053911314418</v>
      </c>
    </row>
    <row r="22" spans="1:14" x14ac:dyDescent="0.25">
      <c r="A22" s="20" t="s">
        <v>248</v>
      </c>
      <c r="B22" s="21" t="str">
        <f>LEFT(TRIM(dataset_2025_11_17T13_30_33_170025752Z_DEFAULT_INTEGRATION_IMF_RES_PCPS_9_0_0[[#This Row],[TIME_PERIOD]]),4)</f>
        <v>2012</v>
      </c>
      <c r="C22" s="7" t="s">
        <v>492</v>
      </c>
      <c r="D22">
        <v>50.8333333333333</v>
      </c>
      <c r="E22" s="7">
        <v>18</v>
      </c>
      <c r="F22" s="7"/>
      <c r="G22" s="1">
        <f t="shared" si="3"/>
        <v>51.777221002896837</v>
      </c>
      <c r="H22" s="1">
        <f t="shared" si="4"/>
        <v>51.609719173908744</v>
      </c>
      <c r="I22" s="1">
        <f t="shared" si="5"/>
        <v>51.442217344920657</v>
      </c>
      <c r="J22" s="1"/>
      <c r="K22" s="32"/>
      <c r="L22" s="1">
        <f t="shared" si="0"/>
        <v>0.89092393275408521</v>
      </c>
      <c r="M22" s="1">
        <f t="shared" si="1"/>
        <v>0.6027749734460377</v>
      </c>
      <c r="N22" s="1">
        <f t="shared" si="2"/>
        <v>0.37073973956671225</v>
      </c>
    </row>
    <row r="23" spans="1:14" x14ac:dyDescent="0.25">
      <c r="A23" s="18" t="s">
        <v>249</v>
      </c>
      <c r="B23" s="19" t="str">
        <f>LEFT(TRIM(dataset_2025_11_17T13_30_33_170025752Z_DEFAULT_INTEGRATION_IMF_RES_PCPS_9_0_0[[#This Row],[TIME_PERIOD]]),4)</f>
        <v>2012</v>
      </c>
      <c r="C23" s="7" t="s">
        <v>493</v>
      </c>
      <c r="D23">
        <v>50.355555555555597</v>
      </c>
      <c r="E23" s="7">
        <v>19</v>
      </c>
      <c r="F23" s="7"/>
      <c r="G23" s="1">
        <f t="shared" si="3"/>
        <v>51.022110867246013</v>
      </c>
      <c r="H23" s="1">
        <f t="shared" si="4"/>
        <v>51.305277168115069</v>
      </c>
      <c r="I23" s="1">
        <f t="shared" si="5"/>
        <v>51.588443468984131</v>
      </c>
      <c r="J23" s="1"/>
      <c r="K23" s="32"/>
      <c r="L23" s="1">
        <f t="shared" si="0"/>
        <v>0.44429598354270811</v>
      </c>
      <c r="M23" s="1">
        <f t="shared" si="1"/>
        <v>0.90197114136256351</v>
      </c>
      <c r="N23" s="1">
        <f t="shared" si="2"/>
        <v>1.5200126070781654</v>
      </c>
    </row>
    <row r="24" spans="1:14" x14ac:dyDescent="0.25">
      <c r="A24" s="20" t="s">
        <v>250</v>
      </c>
      <c r="B24" s="21" t="str">
        <f>LEFT(TRIM(dataset_2025_11_17T13_30_33_170025752Z_DEFAULT_INTEGRATION_IMF_RES_PCPS_9_0_0[[#This Row],[TIME_PERIOD]]),4)</f>
        <v>2012</v>
      </c>
      <c r="C24" s="7" t="s">
        <v>494</v>
      </c>
      <c r="D24">
        <v>49.25</v>
      </c>
      <c r="E24" s="7">
        <v>20</v>
      </c>
      <c r="F24" s="7"/>
      <c r="G24" s="1">
        <f t="shared" si="3"/>
        <v>50.488866617893684</v>
      </c>
      <c r="H24" s="1">
        <f t="shared" si="4"/>
        <v>50.688833211400805</v>
      </c>
      <c r="I24" s="1">
        <f t="shared" si="5"/>
        <v>50.888799804907926</v>
      </c>
      <c r="J24" s="1"/>
      <c r="K24" s="32"/>
      <c r="L24" s="1">
        <f t="shared" si="0"/>
        <v>1.5347904969313364</v>
      </c>
      <c r="M24" s="1">
        <f t="shared" si="1"/>
        <v>2.070241010229954</v>
      </c>
      <c r="N24" s="1">
        <f t="shared" si="2"/>
        <v>2.6856648005662556</v>
      </c>
    </row>
    <row r="25" spans="1:14" x14ac:dyDescent="0.25">
      <c r="A25" s="18" t="s">
        <v>251</v>
      </c>
      <c r="B25" s="19" t="str">
        <f>LEFT(TRIM(dataset_2025_11_17T13_30_33_170025752Z_DEFAULT_INTEGRATION_IMF_RES_PCPS_9_0_0[[#This Row],[TIME_PERIOD]]),4)</f>
        <v>2012</v>
      </c>
      <c r="C25" s="7" t="s">
        <v>495</v>
      </c>
      <c r="D25">
        <v>47.725000000000001</v>
      </c>
      <c r="E25" s="7">
        <v>21</v>
      </c>
      <c r="F25" s="7"/>
      <c r="G25" s="1">
        <f t="shared" si="3"/>
        <v>49.497773323578741</v>
      </c>
      <c r="H25" s="1">
        <f t="shared" si="4"/>
        <v>49.869433308946839</v>
      </c>
      <c r="I25" s="1">
        <f t="shared" si="5"/>
        <v>50.24109329431495</v>
      </c>
      <c r="J25" s="1"/>
      <c r="K25" s="32"/>
      <c r="L25" s="1">
        <f t="shared" si="0"/>
        <v>3.1427252567924109</v>
      </c>
      <c r="M25" s="1">
        <f t="shared" si="1"/>
        <v>4.5985942165206817</v>
      </c>
      <c r="N25" s="1">
        <f t="shared" si="2"/>
        <v>6.330725465696653</v>
      </c>
    </row>
    <row r="26" spans="1:14" x14ac:dyDescent="0.25">
      <c r="A26" s="20" t="s">
        <v>252</v>
      </c>
      <c r="B26" s="21" t="str">
        <f>LEFT(TRIM(dataset_2025_11_17T13_30_33_170025752Z_DEFAULT_INTEGRATION_IMF_RES_PCPS_9_0_0[[#This Row],[TIME_PERIOD]]),4)</f>
        <v>2013</v>
      </c>
      <c r="C26" s="7" t="s">
        <v>496</v>
      </c>
      <c r="D26">
        <v>44.6111111111111</v>
      </c>
      <c r="E26" s="7">
        <v>22</v>
      </c>
      <c r="F26" s="7"/>
      <c r="G26" s="1">
        <f t="shared" si="3"/>
        <v>48.079554664715751</v>
      </c>
      <c r="H26" s="1">
        <f t="shared" si="4"/>
        <v>48.611386661789368</v>
      </c>
      <c r="I26" s="1">
        <f t="shared" si="5"/>
        <v>49.143218658862992</v>
      </c>
      <c r="J26" s="1"/>
      <c r="K26" s="32"/>
      <c r="L26" s="1">
        <f t="shared" si="0"/>
        <v>12.030100684541658</v>
      </c>
      <c r="M26" s="1">
        <f t="shared" si="1"/>
        <v>16.002204481354319</v>
      </c>
      <c r="N26" s="1">
        <f t="shared" si="2"/>
        <v>20.539998824389667</v>
      </c>
    </row>
    <row r="27" spans="1:14" x14ac:dyDescent="0.25">
      <c r="A27" s="18" t="s">
        <v>253</v>
      </c>
      <c r="B27" s="19" t="str">
        <f>LEFT(TRIM(dataset_2025_11_17T13_30_33_170025752Z_DEFAULT_INTEGRATION_IMF_RES_PCPS_9_0_0[[#This Row],[TIME_PERIOD]]),4)</f>
        <v>2013</v>
      </c>
      <c r="C27" s="7" t="s">
        <v>497</v>
      </c>
      <c r="D27">
        <v>41.5</v>
      </c>
      <c r="E27" s="7">
        <v>23</v>
      </c>
      <c r="F27" s="7"/>
      <c r="G27" s="1">
        <f t="shared" si="3"/>
        <v>45.304799821832034</v>
      </c>
      <c r="H27" s="1">
        <f t="shared" si="4"/>
        <v>46.345332887913429</v>
      </c>
      <c r="I27" s="1">
        <f t="shared" si="5"/>
        <v>47.385865953994823</v>
      </c>
      <c r="J27" s="1"/>
      <c r="K27" s="32"/>
      <c r="L27" s="1">
        <f t="shared" si="0"/>
        <v>14.476501684213082</v>
      </c>
      <c r="M27" s="1">
        <f t="shared" si="1"/>
        <v>23.47725079469549</v>
      </c>
      <c r="N27" s="1">
        <f t="shared" si="2"/>
        <v>34.643418028395395</v>
      </c>
    </row>
    <row r="28" spans="1:14" x14ac:dyDescent="0.25">
      <c r="A28" s="20" t="s">
        <v>254</v>
      </c>
      <c r="B28" s="21" t="str">
        <f>LEFT(TRIM(dataset_2025_11_17T13_30_33_170025752Z_DEFAULT_INTEGRATION_IMF_RES_PCPS_9_0_0[[#This Row],[TIME_PERIOD]]),4)</f>
        <v>2013</v>
      </c>
      <c r="C28" s="7" t="s">
        <v>498</v>
      </c>
      <c r="D28">
        <v>43.6666666666667</v>
      </c>
      <c r="E28" s="7">
        <v>24</v>
      </c>
      <c r="F28" s="7"/>
      <c r="G28" s="1">
        <f t="shared" si="3"/>
        <v>42.260959964366407</v>
      </c>
      <c r="H28" s="1">
        <f t="shared" si="4"/>
        <v>43.402399910916017</v>
      </c>
      <c r="I28" s="1">
        <f t="shared" si="5"/>
        <v>44.543839857465628</v>
      </c>
      <c r="J28" s="1"/>
      <c r="K28" s="32"/>
      <c r="L28" s="1">
        <f t="shared" si="0"/>
        <v>1.9760113328919644</v>
      </c>
      <c r="M28" s="1">
        <f t="shared" si="1"/>
        <v>6.9836918194990924E-2</v>
      </c>
      <c r="N28" s="1">
        <f t="shared" si="2"/>
        <v>0.76943280665637215</v>
      </c>
    </row>
    <row r="29" spans="1:14" x14ac:dyDescent="0.25">
      <c r="A29" s="18" t="s">
        <v>255</v>
      </c>
      <c r="B29" s="19" t="str">
        <f>LEFT(TRIM(dataset_2025_11_17T13_30_33_170025752Z_DEFAULT_INTEGRATION_IMF_RES_PCPS_9_0_0[[#This Row],[TIME_PERIOD]]),4)</f>
        <v>2013</v>
      </c>
      <c r="C29" s="7" t="s">
        <v>487</v>
      </c>
      <c r="D29">
        <v>42.75</v>
      </c>
      <c r="E29" s="7">
        <v>25</v>
      </c>
      <c r="F29" s="7"/>
      <c r="G29" s="1">
        <f t="shared" si="3"/>
        <v>43.38552532620664</v>
      </c>
      <c r="H29" s="1">
        <f t="shared" si="4"/>
        <v>42.963813315516553</v>
      </c>
      <c r="I29" s="1">
        <f t="shared" si="5"/>
        <v>42.54210130482646</v>
      </c>
      <c r="J29" s="1"/>
      <c r="K29" s="32"/>
      <c r="L29" s="1">
        <f t="shared" si="0"/>
        <v>0.40389244025005594</v>
      </c>
      <c r="M29" s="1">
        <f t="shared" si="1"/>
        <v>4.5716133892181196E-2</v>
      </c>
      <c r="N29" s="1">
        <f t="shared" si="2"/>
        <v>4.3221867454860591E-2</v>
      </c>
    </row>
    <row r="30" spans="1:14" x14ac:dyDescent="0.25">
      <c r="A30" s="20" t="s">
        <v>256</v>
      </c>
      <c r="B30" s="21" t="str">
        <f>LEFT(TRIM(dataset_2025_11_17T13_30_33_170025752Z_DEFAULT_INTEGRATION_IMF_RES_PCPS_9_0_0[[#This Row],[TIME_PERIOD]]),4)</f>
        <v>2013</v>
      </c>
      <c r="C30" s="7" t="s">
        <v>488</v>
      </c>
      <c r="D30">
        <v>43.40625</v>
      </c>
      <c r="E30" s="7">
        <v>26</v>
      </c>
      <c r="F30" s="7"/>
      <c r="G30" s="1">
        <f t="shared" si="3"/>
        <v>42.877105065241331</v>
      </c>
      <c r="H30" s="1">
        <f t="shared" si="4"/>
        <v>43.067762663103323</v>
      </c>
      <c r="I30" s="1">
        <f t="shared" si="5"/>
        <v>43.258420260965309</v>
      </c>
      <c r="J30" s="1"/>
      <c r="K30" s="32"/>
      <c r="L30" s="1">
        <f t="shared" si="0"/>
        <v>0.27999436198075628</v>
      </c>
      <c r="M30" s="1">
        <f t="shared" si="1"/>
        <v>0.1145736772394042</v>
      </c>
      <c r="N30" s="1">
        <f t="shared" si="2"/>
        <v>2.1853631743064841E-2</v>
      </c>
    </row>
    <row r="31" spans="1:14" x14ac:dyDescent="0.25">
      <c r="A31" s="18" t="s">
        <v>257</v>
      </c>
      <c r="B31" s="19" t="str">
        <f>LEFT(TRIM(dataset_2025_11_17T13_30_33_170025752Z_DEFAULT_INTEGRATION_IMF_RES_PCPS_9_0_0[[#This Row],[TIME_PERIOD]]),4)</f>
        <v>2013</v>
      </c>
      <c r="C31" s="7" t="s">
        <v>489</v>
      </c>
      <c r="D31">
        <v>42.28125</v>
      </c>
      <c r="E31" s="7">
        <v>27</v>
      </c>
      <c r="F31" s="7"/>
      <c r="G31" s="1">
        <f t="shared" si="3"/>
        <v>43.300421013048265</v>
      </c>
      <c r="H31" s="1">
        <f t="shared" si="4"/>
        <v>43.141677532620662</v>
      </c>
      <c r="I31" s="1">
        <f t="shared" si="5"/>
        <v>42.982934052193066</v>
      </c>
      <c r="J31" s="1"/>
      <c r="K31" s="32"/>
      <c r="L31" s="1">
        <f t="shared" si="0"/>
        <v>1.0387095538378261</v>
      </c>
      <c r="M31" s="1">
        <f t="shared" si="1"/>
        <v>0.74033553889168013</v>
      </c>
      <c r="N31" s="1">
        <f t="shared" si="2"/>
        <v>0.49236050910208146</v>
      </c>
    </row>
    <row r="32" spans="1:14" x14ac:dyDescent="0.25">
      <c r="A32" s="20" t="s">
        <v>258</v>
      </c>
      <c r="B32" s="21" t="str">
        <f>LEFT(TRIM(dataset_2025_11_17T13_30_33_170025752Z_DEFAULT_INTEGRATION_IMF_RES_PCPS_9_0_0[[#This Row],[TIME_PERIOD]]),4)</f>
        <v>2013</v>
      </c>
      <c r="C32" s="7" t="s">
        <v>490</v>
      </c>
      <c r="D32">
        <v>41.412500000000001</v>
      </c>
      <c r="E32" s="7">
        <v>28</v>
      </c>
      <c r="F32" s="7"/>
      <c r="G32" s="1">
        <f t="shared" si="3"/>
        <v>42.485084202609656</v>
      </c>
      <c r="H32" s="1">
        <f t="shared" si="4"/>
        <v>42.790835506524132</v>
      </c>
      <c r="I32" s="1">
        <f t="shared" si="5"/>
        <v>43.096586810438609</v>
      </c>
      <c r="J32" s="1"/>
      <c r="K32" s="32"/>
      <c r="L32" s="1">
        <f t="shared" si="0"/>
        <v>1.1504368716877882</v>
      </c>
      <c r="M32" s="1">
        <f t="shared" si="1"/>
        <v>1.8998087685451326</v>
      </c>
      <c r="N32" s="1">
        <f t="shared" si="2"/>
        <v>2.8361483850932823</v>
      </c>
    </row>
    <row r="33" spans="1:14" x14ac:dyDescent="0.25">
      <c r="A33" s="18" t="s">
        <v>259</v>
      </c>
      <c r="B33" s="19" t="str">
        <f>LEFT(TRIM(dataset_2025_11_17T13_30_33_170025752Z_DEFAULT_INTEGRATION_IMF_RES_PCPS_9_0_0[[#This Row],[TIME_PERIOD]]),4)</f>
        <v>2013</v>
      </c>
      <c r="C33" s="7" t="s">
        <v>491</v>
      </c>
      <c r="D33">
        <v>40.604999999999997</v>
      </c>
      <c r="E33" s="7">
        <v>29</v>
      </c>
      <c r="F33" s="7"/>
      <c r="G33" s="1">
        <f t="shared" si="3"/>
        <v>41.627016840521932</v>
      </c>
      <c r="H33" s="1">
        <f t="shared" si="4"/>
        <v>41.948792101304832</v>
      </c>
      <c r="I33" s="1">
        <f t="shared" si="5"/>
        <v>42.270567362087725</v>
      </c>
      <c r="J33" s="1"/>
      <c r="K33" s="32"/>
      <c r="L33" s="1">
        <f t="shared" si="0"/>
        <v>1.0445184223104391</v>
      </c>
      <c r="M33" s="1">
        <f t="shared" si="1"/>
        <v>1.8057772115292647</v>
      </c>
      <c r="N33" s="1">
        <f t="shared" si="2"/>
        <v>2.774114637651873</v>
      </c>
    </row>
    <row r="34" spans="1:14" x14ac:dyDescent="0.25">
      <c r="A34" s="20" t="s">
        <v>260</v>
      </c>
      <c r="B34" s="21" t="str">
        <f>LEFT(TRIM(dataset_2025_11_17T13_30_33_170025752Z_DEFAULT_INTEGRATION_IMF_RES_PCPS_9_0_0[[#This Row],[TIME_PERIOD]]),4)</f>
        <v>2013</v>
      </c>
      <c r="C34" s="7" t="s">
        <v>492</v>
      </c>
      <c r="D34">
        <v>39.9375</v>
      </c>
      <c r="E34" s="7">
        <v>30</v>
      </c>
      <c r="F34" s="7"/>
      <c r="G34" s="1">
        <f t="shared" si="3"/>
        <v>40.809403368104391</v>
      </c>
      <c r="H34" s="1">
        <f t="shared" si="4"/>
        <v>41.116008420260968</v>
      </c>
      <c r="I34" s="1">
        <f t="shared" si="5"/>
        <v>41.422613472417545</v>
      </c>
      <c r="J34" s="1"/>
      <c r="K34" s="32"/>
      <c r="L34" s="1">
        <f t="shared" si="0"/>
        <v>0.76021548331178124</v>
      </c>
      <c r="M34" s="1">
        <f t="shared" si="1"/>
        <v>1.3888820966260027</v>
      </c>
      <c r="N34" s="1">
        <f t="shared" si="2"/>
        <v>2.2055620259560986</v>
      </c>
    </row>
    <row r="35" spans="1:14" x14ac:dyDescent="0.25">
      <c r="A35" s="18" t="s">
        <v>261</v>
      </c>
      <c r="B35" s="19" t="str">
        <f>LEFT(TRIM(dataset_2025_11_17T13_30_33_170025752Z_DEFAULT_INTEGRATION_IMF_RES_PCPS_9_0_0[[#This Row],[TIME_PERIOD]]),4)</f>
        <v>2013</v>
      </c>
      <c r="C35" s="7" t="s">
        <v>493</v>
      </c>
      <c r="D35">
        <v>38.022222222222197</v>
      </c>
      <c r="E35" s="7">
        <v>31</v>
      </c>
      <c r="F35" s="7"/>
      <c r="G35" s="1">
        <f t="shared" si="3"/>
        <v>40.111880673620881</v>
      </c>
      <c r="H35" s="1">
        <f t="shared" si="4"/>
        <v>40.373451684052199</v>
      </c>
      <c r="I35" s="1">
        <f t="shared" si="5"/>
        <v>40.63502269448351</v>
      </c>
      <c r="J35" s="1"/>
      <c r="K35" s="32"/>
      <c r="L35" s="1">
        <f t="shared" si="0"/>
        <v>4.3666724435019448</v>
      </c>
      <c r="M35" s="1">
        <f t="shared" si="1"/>
        <v>5.5282799821774002</v>
      </c>
      <c r="N35" s="1">
        <f t="shared" si="2"/>
        <v>6.8267263078489391</v>
      </c>
    </row>
    <row r="36" spans="1:14" x14ac:dyDescent="0.25">
      <c r="A36" s="20" t="s">
        <v>262</v>
      </c>
      <c r="B36" s="21" t="str">
        <f>LEFT(TRIM(dataset_2025_11_17T13_30_33_170025752Z_DEFAULT_INTEGRATION_IMF_RES_PCPS_9_0_0[[#This Row],[TIME_PERIOD]]),4)</f>
        <v>2013</v>
      </c>
      <c r="C36" s="7" t="s">
        <v>494</v>
      </c>
      <c r="D36">
        <v>34.994162640901799</v>
      </c>
      <c r="E36" s="7">
        <v>32</v>
      </c>
      <c r="F36" s="7"/>
      <c r="G36" s="1">
        <f t="shared" si="3"/>
        <v>38.440153912501934</v>
      </c>
      <c r="H36" s="1">
        <f t="shared" si="4"/>
        <v>39.067051447921543</v>
      </c>
      <c r="I36" s="1">
        <f t="shared" si="5"/>
        <v>39.693948983341144</v>
      </c>
      <c r="J36" s="1"/>
      <c r="K36" s="32"/>
      <c r="L36" s="1">
        <f t="shared" si="0"/>
        <v>11.874855843944319</v>
      </c>
      <c r="M36" s="1">
        <f t="shared" si="1"/>
        <v>16.588423234346717</v>
      </c>
      <c r="N36" s="1">
        <f t="shared" si="2"/>
        <v>22.087991664579402</v>
      </c>
    </row>
    <row r="37" spans="1:14" x14ac:dyDescent="0.25">
      <c r="A37" s="18" t="s">
        <v>263</v>
      </c>
      <c r="B37" s="19" t="str">
        <f>LEFT(TRIM(dataset_2025_11_17T13_30_33_170025752Z_DEFAULT_INTEGRATION_IMF_RES_PCPS_9_0_0[[#This Row],[TIME_PERIOD]]),4)</f>
        <v>2013</v>
      </c>
      <c r="C37" s="7" t="s">
        <v>495</v>
      </c>
      <c r="D37">
        <v>34.453286749482402</v>
      </c>
      <c r="E37" s="7">
        <v>33</v>
      </c>
      <c r="F37" s="7"/>
      <c r="G37" s="1">
        <f t="shared" si="3"/>
        <v>35.683360895221824</v>
      </c>
      <c r="H37" s="1">
        <f t="shared" si="4"/>
        <v>36.717158276701866</v>
      </c>
      <c r="I37" s="1">
        <f t="shared" si="5"/>
        <v>37.750955658181908</v>
      </c>
      <c r="J37" s="1"/>
      <c r="K37" s="32"/>
      <c r="L37" s="1">
        <f t="shared" si="0"/>
        <v>1.5130824040165698</v>
      </c>
      <c r="M37" s="1">
        <f t="shared" si="1"/>
        <v>5.1251142917549908</v>
      </c>
      <c r="N37" s="1">
        <f t="shared" si="2"/>
        <v>10.874620231403394</v>
      </c>
    </row>
    <row r="38" spans="1:14" x14ac:dyDescent="0.25">
      <c r="A38" s="20" t="s">
        <v>264</v>
      </c>
      <c r="B38" s="21" t="str">
        <f>LEFT(TRIM(dataset_2025_11_17T13_30_33_170025752Z_DEFAULT_INTEGRATION_IMF_RES_PCPS_9_0_0[[#This Row],[TIME_PERIOD]]),4)</f>
        <v>2014</v>
      </c>
      <c r="C38" s="7" t="s">
        <v>496</v>
      </c>
      <c r="D38">
        <v>34.848495589161899</v>
      </c>
      <c r="E38" s="7">
        <v>34</v>
      </c>
      <c r="F38" s="7"/>
      <c r="G38" s="1">
        <f t="shared" si="3"/>
        <v>34.699301578630291</v>
      </c>
      <c r="H38" s="1">
        <f t="shared" si="4"/>
        <v>35.068323822352113</v>
      </c>
      <c r="I38" s="1">
        <f t="shared" si="5"/>
        <v>35.437346066073943</v>
      </c>
      <c r="J38" s="1"/>
      <c r="K38" s="32"/>
      <c r="L38" s="1">
        <f t="shared" ref="L38:L69" si="6">(G38-$D38)^2</f>
        <v>2.2258852778505846E-2</v>
      </c>
      <c r="M38" s="1">
        <f t="shared" ref="M38:M69" si="7">(H38-$D38)^2</f>
        <v>4.8324452107530884E-2</v>
      </c>
      <c r="N38" s="1">
        <f t="shared" ref="N38:N69" si="8">(I38-$D38)^2</f>
        <v>0.34674488415954058</v>
      </c>
    </row>
    <row r="39" spans="1:14" x14ac:dyDescent="0.25">
      <c r="A39" s="18" t="s">
        <v>265</v>
      </c>
      <c r="B39" s="19" t="str">
        <f>LEFT(TRIM(dataset_2025_11_17T13_30_33_170025752Z_DEFAULT_INTEGRATION_IMF_RES_PCPS_9_0_0[[#This Row],[TIME_PERIOD]]),4)</f>
        <v>2014</v>
      </c>
      <c r="C39" s="7" t="s">
        <v>497</v>
      </c>
      <c r="D39">
        <v>35.592003105590003</v>
      </c>
      <c r="E39" s="7">
        <v>35</v>
      </c>
      <c r="F39" s="7"/>
      <c r="G39" s="1">
        <f t="shared" si="3"/>
        <v>34.818656787055581</v>
      </c>
      <c r="H39" s="1">
        <f t="shared" si="4"/>
        <v>34.773898583896099</v>
      </c>
      <c r="I39" s="1">
        <f t="shared" si="5"/>
        <v>34.729140380736609</v>
      </c>
      <c r="J39" s="1"/>
      <c r="K39" s="32"/>
      <c r="L39" s="1">
        <f t="shared" si="6"/>
        <v>0.59806452839074375</v>
      </c>
      <c r="M39" s="1">
        <f t="shared" si="7"/>
        <v>0.66929500841601142</v>
      </c>
      <c r="N39" s="1">
        <f t="shared" si="8"/>
        <v>0.7445320819414224</v>
      </c>
    </row>
    <row r="40" spans="1:14" x14ac:dyDescent="0.25">
      <c r="A40" s="20" t="s">
        <v>266</v>
      </c>
      <c r="B40" s="21" t="str">
        <f>LEFT(TRIM(dataset_2025_11_17T13_30_33_170025752Z_DEFAULT_INTEGRATION_IMF_RES_PCPS_9_0_0[[#This Row],[TIME_PERIOD]]),4)</f>
        <v>2014</v>
      </c>
      <c r="C40" s="7" t="s">
        <v>498</v>
      </c>
      <c r="D40">
        <v>34.593297101449302</v>
      </c>
      <c r="E40" s="7">
        <v>36</v>
      </c>
      <c r="F40" s="7"/>
      <c r="G40" s="1">
        <f t="shared" si="3"/>
        <v>35.437333841883117</v>
      </c>
      <c r="H40" s="1">
        <f t="shared" si="4"/>
        <v>35.205329946322792</v>
      </c>
      <c r="I40" s="1">
        <f t="shared" si="5"/>
        <v>34.973326050762466</v>
      </c>
      <c r="J40" s="1"/>
      <c r="K40" s="32"/>
      <c r="L40" s="1">
        <f t="shared" si="6"/>
        <v>0.71239801920213874</v>
      </c>
      <c r="M40" s="1">
        <f t="shared" si="7"/>
        <v>0.37458420320393687</v>
      </c>
      <c r="N40" s="1">
        <f t="shared" si="8"/>
        <v>0.14442200231606764</v>
      </c>
    </row>
    <row r="41" spans="1:14" x14ac:dyDescent="0.25">
      <c r="A41" s="18" t="s">
        <v>267</v>
      </c>
      <c r="B41" s="19" t="str">
        <f>LEFT(TRIM(dataset_2025_11_17T13_30_33_170025752Z_DEFAULT_INTEGRATION_IMF_RES_PCPS_9_0_0[[#This Row],[TIME_PERIOD]]),4)</f>
        <v>2014</v>
      </c>
      <c r="C41" s="7" t="s">
        <v>487</v>
      </c>
      <c r="D41">
        <v>35.214988972904798</v>
      </c>
      <c r="E41" s="7">
        <v>37</v>
      </c>
      <c r="F41" s="7"/>
      <c r="G41" s="1">
        <f t="shared" si="3"/>
        <v>34.762104449536068</v>
      </c>
      <c r="H41" s="1">
        <f t="shared" si="4"/>
        <v>35.015315471666213</v>
      </c>
      <c r="I41" s="1">
        <f t="shared" si="5"/>
        <v>35.268526493796351</v>
      </c>
      <c r="J41" s="1"/>
      <c r="K41" s="32"/>
      <c r="L41" s="1">
        <f t="shared" si="6"/>
        <v>0.20510439150692233</v>
      </c>
      <c r="M41" s="1">
        <f t="shared" si="7"/>
        <v>3.9869507096875409E-2</v>
      </c>
      <c r="N41" s="1">
        <f t="shared" si="8"/>
        <v>2.8662661432134208E-3</v>
      </c>
    </row>
    <row r="42" spans="1:14" x14ac:dyDescent="0.25">
      <c r="A42" s="20" t="s">
        <v>268</v>
      </c>
      <c r="B42" s="21" t="str">
        <f>LEFT(TRIM(dataset_2025_11_17T13_30_33_170025752Z_DEFAULT_INTEGRATION_IMF_RES_PCPS_9_0_0[[#This Row],[TIME_PERIOD]]),4)</f>
        <v>2014</v>
      </c>
      <c r="C42" s="7" t="s">
        <v>488</v>
      </c>
      <c r="D42">
        <v>35.546739130434801</v>
      </c>
      <c r="E42" s="7">
        <v>38</v>
      </c>
      <c r="F42" s="7"/>
      <c r="G42" s="1">
        <f t="shared" si="3"/>
        <v>35.124412068231052</v>
      </c>
      <c r="H42" s="1">
        <f t="shared" si="4"/>
        <v>34.988546711220437</v>
      </c>
      <c r="I42" s="1">
        <f t="shared" si="5"/>
        <v>34.852681354209814</v>
      </c>
      <c r="J42" s="1"/>
      <c r="K42" s="32"/>
      <c r="L42" s="1">
        <f t="shared" si="6"/>
        <v>0.17836014746964923</v>
      </c>
      <c r="M42" s="1">
        <f t="shared" si="7"/>
        <v>0.31157877686838492</v>
      </c>
      <c r="N42" s="1">
        <f t="shared" si="8"/>
        <v>0.48171619673837457</v>
      </c>
    </row>
    <row r="43" spans="1:14" x14ac:dyDescent="0.25">
      <c r="A43" s="18" t="s">
        <v>269</v>
      </c>
      <c r="B43" s="19" t="str">
        <f>LEFT(TRIM(dataset_2025_11_17T13_30_33_170025752Z_DEFAULT_INTEGRATION_IMF_RES_PCPS_9_0_0[[#This Row],[TIME_PERIOD]]),4)</f>
        <v>2014</v>
      </c>
      <c r="C43" s="7" t="s">
        <v>489</v>
      </c>
      <c r="D43">
        <v>34.7028554175293</v>
      </c>
      <c r="E43" s="7">
        <v>39</v>
      </c>
      <c r="F43" s="7"/>
      <c r="G43" s="1">
        <f t="shared" si="3"/>
        <v>35.462273717994051</v>
      </c>
      <c r="H43" s="1">
        <f t="shared" si="4"/>
        <v>35.335575599332927</v>
      </c>
      <c r="I43" s="1">
        <f t="shared" si="5"/>
        <v>35.208877480671802</v>
      </c>
      <c r="J43" s="1"/>
      <c r="K43" s="32"/>
      <c r="L43" s="1">
        <f t="shared" si="6"/>
        <v>0.57671615508077223</v>
      </c>
      <c r="M43" s="1">
        <f t="shared" si="7"/>
        <v>0.40033482846161506</v>
      </c>
      <c r="N43" s="1">
        <f t="shared" si="8"/>
        <v>0.25605832838699483</v>
      </c>
    </row>
    <row r="44" spans="1:14" x14ac:dyDescent="0.25">
      <c r="A44" s="20" t="s">
        <v>270</v>
      </c>
      <c r="B44" s="21" t="str">
        <f>LEFT(TRIM(dataset_2025_11_17T13_30_33_170025752Z_DEFAULT_INTEGRATION_IMF_RES_PCPS_9_0_0[[#This Row],[TIME_PERIOD]]),4)</f>
        <v>2014</v>
      </c>
      <c r="C44" s="7" t="s">
        <v>490</v>
      </c>
      <c r="D44">
        <v>32.744565217391298</v>
      </c>
      <c r="E44" s="7">
        <v>40</v>
      </c>
      <c r="F44" s="7"/>
      <c r="G44" s="1">
        <f t="shared" si="3"/>
        <v>34.854739077622256</v>
      </c>
      <c r="H44" s="1">
        <f t="shared" si="4"/>
        <v>35.082564567761679</v>
      </c>
      <c r="I44" s="1">
        <f t="shared" si="5"/>
        <v>35.310390057901103</v>
      </c>
      <c r="J44" s="1"/>
      <c r="K44" s="32"/>
      <c r="L44" s="1">
        <f t="shared" si="6"/>
        <v>4.4528337204020234</v>
      </c>
      <c r="M44" s="1">
        <f t="shared" si="7"/>
        <v>5.4662409623323258</v>
      </c>
      <c r="N44" s="1">
        <f t="shared" si="8"/>
        <v>6.5834571121771663</v>
      </c>
    </row>
    <row r="45" spans="1:14" x14ac:dyDescent="0.25">
      <c r="A45" s="18" t="s">
        <v>271</v>
      </c>
      <c r="B45" s="19" t="str">
        <f>LEFT(TRIM(dataset_2025_11_17T13_30_33_170025752Z_DEFAULT_INTEGRATION_IMF_RES_PCPS_9_0_0[[#This Row],[TIME_PERIOD]]),4)</f>
        <v>2014</v>
      </c>
      <c r="C45" s="7" t="s">
        <v>491</v>
      </c>
      <c r="D45">
        <v>28.539855072463801</v>
      </c>
      <c r="E45" s="7">
        <v>41</v>
      </c>
      <c r="F45" s="7"/>
      <c r="G45" s="1">
        <f t="shared" si="3"/>
        <v>33.166599989437493</v>
      </c>
      <c r="H45" s="1">
        <f t="shared" si="4"/>
        <v>33.799652147506777</v>
      </c>
      <c r="I45" s="1">
        <f t="shared" si="5"/>
        <v>34.432704305576067</v>
      </c>
      <c r="J45" s="1"/>
      <c r="K45" s="32"/>
      <c r="L45" s="1">
        <f t="shared" si="6"/>
        <v>21.406768526741896</v>
      </c>
      <c r="M45" s="1">
        <f t="shared" si="7"/>
        <v>27.665465270630637</v>
      </c>
      <c r="N45" s="1">
        <f t="shared" si="8"/>
        <v>34.725672084191814</v>
      </c>
    </row>
    <row r="46" spans="1:14" x14ac:dyDescent="0.25">
      <c r="A46" s="20" t="s">
        <v>272</v>
      </c>
      <c r="B46" s="21" t="str">
        <f>LEFT(TRIM(dataset_2025_11_17T13_30_33_170025752Z_DEFAULT_INTEGRATION_IMF_RES_PCPS_9_0_0[[#This Row],[TIME_PERIOD]]),4)</f>
        <v>2014</v>
      </c>
      <c r="C46" s="7" t="s">
        <v>492</v>
      </c>
      <c r="D46">
        <v>28.2254572118702</v>
      </c>
      <c r="E46" s="7">
        <v>42</v>
      </c>
      <c r="F46" s="7"/>
      <c r="G46" s="1">
        <f t="shared" si="3"/>
        <v>29.465204055858543</v>
      </c>
      <c r="H46" s="1">
        <f t="shared" si="4"/>
        <v>30.853227530950647</v>
      </c>
      <c r="I46" s="1">
        <f t="shared" si="5"/>
        <v>32.241251006042752</v>
      </c>
      <c r="J46" s="1"/>
      <c r="K46" s="32"/>
      <c r="L46" s="1">
        <f t="shared" si="6"/>
        <v>1.5369722371790557</v>
      </c>
      <c r="M46" s="1">
        <f t="shared" si="7"/>
        <v>6.9051768498401564</v>
      </c>
      <c r="N46" s="1">
        <f t="shared" si="8"/>
        <v>16.126599797314782</v>
      </c>
    </row>
    <row r="47" spans="1:14" x14ac:dyDescent="0.25">
      <c r="A47" s="18" t="s">
        <v>273</v>
      </c>
      <c r="B47" s="19" t="str">
        <f>LEFT(TRIM(dataset_2025_11_17T13_30_33_170025752Z_DEFAULT_INTEGRATION_IMF_RES_PCPS_9_0_0[[#This Row],[TIME_PERIOD]]),4)</f>
        <v>2014</v>
      </c>
      <c r="C47" s="7" t="s">
        <v>493</v>
      </c>
      <c r="D47">
        <v>28.4002047889099</v>
      </c>
      <c r="E47" s="7">
        <v>43</v>
      </c>
      <c r="F47" s="7"/>
      <c r="G47" s="1">
        <f t="shared" si="3"/>
        <v>28.47340658066787</v>
      </c>
      <c r="H47" s="1">
        <f t="shared" si="4"/>
        <v>28.845330633864371</v>
      </c>
      <c r="I47" s="1">
        <f t="shared" si="5"/>
        <v>29.217254687060873</v>
      </c>
      <c r="J47" s="1"/>
      <c r="K47" s="32"/>
      <c r="L47" s="1">
        <f t="shared" si="6"/>
        <v>5.3585023165772586E-3</v>
      </c>
      <c r="M47" s="1">
        <f t="shared" si="7"/>
        <v>0.1981370178464324</v>
      </c>
      <c r="N47" s="1">
        <f t="shared" si="8"/>
        <v>0.66757053606851546</v>
      </c>
    </row>
    <row r="48" spans="1:14" x14ac:dyDescent="0.25">
      <c r="A48" s="20" t="s">
        <v>274</v>
      </c>
      <c r="B48" s="21" t="str">
        <f>LEFT(TRIM(dataset_2025_11_17T13_30_33_170025752Z_DEFAULT_INTEGRATION_IMF_RES_PCPS_9_0_0[[#This Row],[TIME_PERIOD]]),4)</f>
        <v>2014</v>
      </c>
      <c r="C48" s="7" t="s">
        <v>494</v>
      </c>
      <c r="D48">
        <v>30.829321946169799</v>
      </c>
      <c r="E48" s="7">
        <v>44</v>
      </c>
      <c r="F48" s="7"/>
      <c r="G48" s="1">
        <f t="shared" si="3"/>
        <v>28.414845147261495</v>
      </c>
      <c r="H48" s="1">
        <f t="shared" si="4"/>
        <v>28.436805684788887</v>
      </c>
      <c r="I48" s="1">
        <f t="shared" si="5"/>
        <v>28.458766222316278</v>
      </c>
      <c r="J48" s="1"/>
      <c r="K48" s="32"/>
      <c r="L48" s="1">
        <f t="shared" si="6"/>
        <v>5.8296982124664884</v>
      </c>
      <c r="M48" s="1">
        <f t="shared" si="7"/>
        <v>5.724134060972097</v>
      </c>
      <c r="N48" s="1">
        <f t="shared" si="8"/>
        <v>5.6195344398946894</v>
      </c>
    </row>
    <row r="49" spans="1:14" x14ac:dyDescent="0.25">
      <c r="A49" s="18" t="s">
        <v>275</v>
      </c>
      <c r="B49" s="19" t="str">
        <f>LEFT(TRIM(dataset_2025_11_17T13_30_33_170025752Z_DEFAULT_INTEGRATION_IMF_RES_PCPS_9_0_0[[#This Row],[TIME_PERIOD]]),4)</f>
        <v>2014</v>
      </c>
      <c r="C49" s="7" t="s">
        <v>495</v>
      </c>
      <c r="D49">
        <v>34.371829710144901</v>
      </c>
      <c r="E49" s="7">
        <v>45</v>
      </c>
      <c r="F49" s="7"/>
      <c r="G49" s="1">
        <f t="shared" si="3"/>
        <v>30.346426586388137</v>
      </c>
      <c r="H49" s="1">
        <f t="shared" si="4"/>
        <v>29.622083546715647</v>
      </c>
      <c r="I49" s="1">
        <f t="shared" si="5"/>
        <v>28.897740507043153</v>
      </c>
      <c r="J49" s="1"/>
      <c r="K49" s="32"/>
      <c r="L49" s="1">
        <f t="shared" si="6"/>
        <v>16.203870308750712</v>
      </c>
      <c r="M49" s="1">
        <f t="shared" si="7"/>
        <v>22.560088617010919</v>
      </c>
      <c r="N49" s="1">
        <f t="shared" si="8"/>
        <v>29.965652603515132</v>
      </c>
    </row>
    <row r="50" spans="1:14" x14ac:dyDescent="0.25">
      <c r="A50" s="20" t="s">
        <v>276</v>
      </c>
      <c r="B50" s="21" t="str">
        <f>LEFT(TRIM(dataset_2025_11_17T13_30_33_170025752Z_DEFAULT_INTEGRATION_IMF_RES_PCPS_9_0_0[[#This Row],[TIME_PERIOD]]),4)</f>
        <v>2015</v>
      </c>
      <c r="C50" s="7" t="s">
        <v>496</v>
      </c>
      <c r="D50">
        <v>35.751732829237497</v>
      </c>
      <c r="E50" s="7">
        <v>46</v>
      </c>
      <c r="F50" s="7"/>
      <c r="G50" s="1">
        <f t="shared" si="3"/>
        <v>33.566749085393546</v>
      </c>
      <c r="H50" s="1">
        <f t="shared" si="4"/>
        <v>32.359128148266521</v>
      </c>
      <c r="I50" s="1">
        <f t="shared" si="5"/>
        <v>31.151507211139489</v>
      </c>
      <c r="J50" s="1"/>
      <c r="K50" s="32"/>
      <c r="L50" s="1">
        <f t="shared" si="6"/>
        <v>4.7741539608623276</v>
      </c>
      <c r="M50" s="1">
        <f t="shared" si="7"/>
        <v>11.509766521346178</v>
      </c>
      <c r="N50" s="1">
        <f t="shared" si="8"/>
        <v>21.162075737405203</v>
      </c>
    </row>
    <row r="51" spans="1:14" x14ac:dyDescent="0.25">
      <c r="A51" s="18" t="s">
        <v>277</v>
      </c>
      <c r="B51" s="19" t="str">
        <f>LEFT(TRIM(dataset_2025_11_17T13_30_33_170025752Z_DEFAULT_INTEGRATION_IMF_RES_PCPS_9_0_0[[#This Row],[TIME_PERIOD]]),4)</f>
        <v>2015</v>
      </c>
      <c r="C51" s="7" t="s">
        <v>497</v>
      </c>
      <c r="D51">
        <v>40.597373188405797</v>
      </c>
      <c r="E51" s="7">
        <v>47</v>
      </c>
      <c r="F51" s="7"/>
      <c r="G51" s="1">
        <f t="shared" si="3"/>
        <v>35.314736080468705</v>
      </c>
      <c r="H51" s="1">
        <f t="shared" si="4"/>
        <v>34.659240957315518</v>
      </c>
      <c r="I51" s="1">
        <f t="shared" si="5"/>
        <v>34.003745834162338</v>
      </c>
      <c r="J51" s="1"/>
      <c r="K51" s="32"/>
      <c r="L51" s="1">
        <f t="shared" si="6"/>
        <v>27.906254814153957</v>
      </c>
      <c r="M51" s="1">
        <f t="shared" si="7"/>
        <v>35.261414393913213</v>
      </c>
      <c r="N51" s="1">
        <f t="shared" si="8"/>
        <v>43.475921686627601</v>
      </c>
    </row>
    <row r="52" spans="1:14" x14ac:dyDescent="0.25">
      <c r="A52" s="20" t="s">
        <v>278</v>
      </c>
      <c r="B52" s="21" t="str">
        <f>LEFT(TRIM(dataset_2025_11_17T13_30_33_170025752Z_DEFAULT_INTEGRATION_IMF_RES_PCPS_9_0_0[[#This Row],[TIME_PERIOD]]),4)</f>
        <v>2015</v>
      </c>
      <c r="C52" s="7" t="s">
        <v>498</v>
      </c>
      <c r="D52">
        <v>36.948251417769299</v>
      </c>
      <c r="E52" s="7">
        <v>48</v>
      </c>
      <c r="F52" s="7"/>
      <c r="G52" s="1">
        <f t="shared" si="3"/>
        <v>39.540845766818379</v>
      </c>
      <c r="H52" s="1">
        <f t="shared" si="4"/>
        <v>37.956054634437251</v>
      </c>
      <c r="I52" s="1">
        <f t="shared" si="5"/>
        <v>36.371263502056124</v>
      </c>
      <c r="J52" s="1"/>
      <c r="K52" s="32"/>
      <c r="L52" s="1">
        <f t="shared" si="6"/>
        <v>6.72154545872122</v>
      </c>
      <c r="M52" s="1">
        <f t="shared" si="7"/>
        <v>1.015667323526271</v>
      </c>
      <c r="N52" s="1">
        <f t="shared" si="8"/>
        <v>0.33291505487903444</v>
      </c>
    </row>
    <row r="53" spans="1:14" x14ac:dyDescent="0.25">
      <c r="A53" s="18" t="s">
        <v>279</v>
      </c>
      <c r="B53" s="19" t="str">
        <f>LEFT(TRIM(dataset_2025_11_17T13_30_33_170025752Z_DEFAULT_INTEGRATION_IMF_RES_PCPS_9_0_0[[#This Row],[TIME_PERIOD]]),4)</f>
        <v>2015</v>
      </c>
      <c r="C53" s="7" t="s">
        <v>487</v>
      </c>
      <c r="D53">
        <v>35.897727272727302</v>
      </c>
      <c r="E53" s="7">
        <v>49</v>
      </c>
      <c r="F53" s="7"/>
      <c r="G53" s="1">
        <f t="shared" si="3"/>
        <v>37.466770287579116</v>
      </c>
      <c r="H53" s="1">
        <f t="shared" si="4"/>
        <v>38.244548592293839</v>
      </c>
      <c r="I53" s="1">
        <f t="shared" si="5"/>
        <v>39.022326897008561</v>
      </c>
      <c r="J53" s="1"/>
      <c r="K53" s="32"/>
      <c r="L53" s="1">
        <f t="shared" si="6"/>
        <v>2.461895982455272</v>
      </c>
      <c r="M53" s="1">
        <f t="shared" si="7"/>
        <v>5.5075703059720222</v>
      </c>
      <c r="N53" s="1">
        <f t="shared" si="8"/>
        <v>9.7631228120585885</v>
      </c>
    </row>
    <row r="54" spans="1:14" x14ac:dyDescent="0.25">
      <c r="A54" s="20" t="s">
        <v>280</v>
      </c>
      <c r="B54" s="21" t="str">
        <f>LEFT(TRIM(dataset_2025_11_17T13_30_33_170025752Z_DEFAULT_INTEGRATION_IMF_RES_PCPS_9_0_0[[#This Row],[TIME_PERIOD]]),4)</f>
        <v>2015</v>
      </c>
      <c r="C54" s="7" t="s">
        <v>488</v>
      </c>
      <c r="D54">
        <v>38.1875</v>
      </c>
      <c r="E54" s="7">
        <v>50</v>
      </c>
      <c r="F54" s="7"/>
      <c r="G54" s="1">
        <f t="shared" si="3"/>
        <v>36.211535875697663</v>
      </c>
      <c r="H54" s="1">
        <f t="shared" si="4"/>
        <v>36.682248780153209</v>
      </c>
      <c r="I54" s="1">
        <f t="shared" si="5"/>
        <v>37.152961684608755</v>
      </c>
      <c r="J54" s="1"/>
      <c r="K54" s="32"/>
      <c r="L54" s="1">
        <f t="shared" si="6"/>
        <v>3.9044342205299003</v>
      </c>
      <c r="M54" s="1">
        <f t="shared" si="7"/>
        <v>2.2657812348502522</v>
      </c>
      <c r="N54" s="1">
        <f t="shared" si="8"/>
        <v>1.0702695260125552</v>
      </c>
    </row>
    <row r="55" spans="1:14" x14ac:dyDescent="0.25">
      <c r="A55" s="18" t="s">
        <v>281</v>
      </c>
      <c r="B55" s="19" t="str">
        <f>LEFT(TRIM(dataset_2025_11_17T13_30_33_170025752Z_DEFAULT_INTEGRATION_IMF_RES_PCPS_9_0_0[[#This Row],[TIME_PERIOD]]),4)</f>
        <v>2015</v>
      </c>
      <c r="C55" s="7" t="s">
        <v>489</v>
      </c>
      <c r="D55">
        <v>39.318181818181799</v>
      </c>
      <c r="E55" s="7">
        <v>51</v>
      </c>
      <c r="F55" s="7"/>
      <c r="G55" s="1">
        <f t="shared" si="3"/>
        <v>37.792307175139534</v>
      </c>
      <c r="H55" s="1">
        <f t="shared" si="4"/>
        <v>37.199517937848832</v>
      </c>
      <c r="I55" s="1">
        <f t="shared" si="5"/>
        <v>36.606728700558129</v>
      </c>
      <c r="J55" s="1"/>
      <c r="K55" s="32"/>
      <c r="L55" s="1">
        <f t="shared" si="6"/>
        <v>2.3282934262793589</v>
      </c>
      <c r="M55" s="1">
        <f t="shared" si="7"/>
        <v>4.4887366378275457</v>
      </c>
      <c r="N55" s="1">
        <f t="shared" si="8"/>
        <v>7.3519780090711171</v>
      </c>
    </row>
    <row r="56" spans="1:14" x14ac:dyDescent="0.25">
      <c r="A56" s="20" t="s">
        <v>282</v>
      </c>
      <c r="B56" s="21" t="str">
        <f>LEFT(TRIM(dataset_2025_11_17T13_30_33_170025752Z_DEFAULT_INTEGRATION_IMF_RES_PCPS_9_0_0[[#This Row],[TIME_PERIOD]]),4)</f>
        <v>2015</v>
      </c>
      <c r="C56" s="7" t="s">
        <v>490</v>
      </c>
      <c r="D56">
        <v>38.840909090909101</v>
      </c>
      <c r="E56" s="7">
        <v>52</v>
      </c>
      <c r="F56" s="7"/>
      <c r="G56" s="1">
        <f t="shared" si="3"/>
        <v>39.013006889573347</v>
      </c>
      <c r="H56" s="1">
        <f t="shared" si="4"/>
        <v>38.555244496660663</v>
      </c>
      <c r="I56" s="1">
        <f t="shared" si="5"/>
        <v>38.097482103747986</v>
      </c>
      <c r="J56" s="1"/>
      <c r="K56" s="32"/>
      <c r="L56" s="1">
        <f t="shared" si="6"/>
        <v>2.9617652305079588E-2</v>
      </c>
      <c r="M56" s="1">
        <f t="shared" si="7"/>
        <v>8.1604260407124554E-2</v>
      </c>
      <c r="N56" s="1">
        <f t="shared" si="8"/>
        <v>0.55268368523945266</v>
      </c>
    </row>
    <row r="57" spans="1:14" x14ac:dyDescent="0.25">
      <c r="A57" s="18" t="s">
        <v>283</v>
      </c>
      <c r="B57" s="19" t="str">
        <f>LEFT(TRIM(dataset_2025_11_17T13_30_33_170025752Z_DEFAULT_INTEGRATION_IMF_RES_PCPS_9_0_0[[#This Row],[TIME_PERIOD]]),4)</f>
        <v>2015</v>
      </c>
      <c r="C57" s="7" t="s">
        <v>491</v>
      </c>
      <c r="D57">
        <v>35.690476190476197</v>
      </c>
      <c r="E57" s="7">
        <v>53</v>
      </c>
      <c r="F57" s="7"/>
      <c r="G57" s="1">
        <f t="shared" si="3"/>
        <v>38.875328650641947</v>
      </c>
      <c r="H57" s="1">
        <f t="shared" si="4"/>
        <v>38.92695799024122</v>
      </c>
      <c r="I57" s="1">
        <f t="shared" si="5"/>
        <v>38.978587329840494</v>
      </c>
      <c r="J57" s="1"/>
      <c r="K57" s="32"/>
      <c r="L57" s="1">
        <f t="shared" si="6"/>
        <v>10.143285193023832</v>
      </c>
      <c r="M57" s="1">
        <f t="shared" si="7"/>
        <v>10.474814440210245</v>
      </c>
      <c r="N57" s="1">
        <f t="shared" si="8"/>
        <v>10.811674864811573</v>
      </c>
    </row>
    <row r="58" spans="1:14" x14ac:dyDescent="0.25">
      <c r="A58" s="20" t="s">
        <v>284</v>
      </c>
      <c r="B58" s="21" t="str">
        <f>LEFT(TRIM(dataset_2025_11_17T13_30_33_170025752Z_DEFAULT_INTEGRATION_IMF_RES_PCPS_9_0_0[[#This Row],[TIME_PERIOD]]),4)</f>
        <v>2015</v>
      </c>
      <c r="C58" s="7" t="s">
        <v>492</v>
      </c>
      <c r="D58">
        <v>36.045454545454497</v>
      </c>
      <c r="E58" s="7">
        <v>54</v>
      </c>
      <c r="F58" s="7"/>
      <c r="G58" s="1">
        <f t="shared" si="3"/>
        <v>36.327446682509347</v>
      </c>
      <c r="H58" s="1">
        <f t="shared" si="4"/>
        <v>37.282902420559068</v>
      </c>
      <c r="I58" s="1">
        <f t="shared" si="5"/>
        <v>38.238358158608797</v>
      </c>
      <c r="J58" s="1"/>
      <c r="K58" s="32"/>
      <c r="L58" s="1">
        <f t="shared" si="6"/>
        <v>7.9519565360761268E-2</v>
      </c>
      <c r="M58" s="1">
        <f t="shared" si="7"/>
        <v>1.5312772436008191</v>
      </c>
      <c r="N58" s="1">
        <f t="shared" si="8"/>
        <v>4.808826256585184</v>
      </c>
    </row>
    <row r="59" spans="1:14" x14ac:dyDescent="0.25">
      <c r="A59" s="18" t="s">
        <v>285</v>
      </c>
      <c r="B59" s="19" t="str">
        <f>LEFT(TRIM(dataset_2025_11_17T13_30_33_170025752Z_DEFAULT_INTEGRATION_IMF_RES_PCPS_9_0_0[[#This Row],[TIME_PERIOD]]),4)</f>
        <v>2015</v>
      </c>
      <c r="C59" s="7" t="s">
        <v>493</v>
      </c>
      <c r="D59">
        <v>36.2826086956522</v>
      </c>
      <c r="E59" s="7">
        <v>55</v>
      </c>
      <c r="F59" s="7"/>
      <c r="G59" s="1">
        <f t="shared" si="3"/>
        <v>36.101852972865473</v>
      </c>
      <c r="H59" s="1">
        <f t="shared" si="4"/>
        <v>36.186450613981918</v>
      </c>
      <c r="I59" s="1">
        <f t="shared" si="5"/>
        <v>36.271048255098378</v>
      </c>
      <c r="J59" s="1"/>
      <c r="K59" s="32"/>
      <c r="L59" s="1">
        <f t="shared" si="6"/>
        <v>3.2672631320152391E-2</v>
      </c>
      <c r="M59" s="1">
        <f t="shared" si="7"/>
        <v>9.2463766705086336E-3</v>
      </c>
      <c r="N59" s="1">
        <f t="shared" si="8"/>
        <v>1.3364378579845473E-4</v>
      </c>
    </row>
    <row r="60" spans="1:14" x14ac:dyDescent="0.25">
      <c r="A60" s="20" t="s">
        <v>286</v>
      </c>
      <c r="B60" s="21" t="str">
        <f>LEFT(TRIM(dataset_2025_11_17T13_30_33_170025752Z_DEFAULT_INTEGRATION_IMF_RES_PCPS_9_0_0[[#This Row],[TIME_PERIOD]]),4)</f>
        <v>2015</v>
      </c>
      <c r="C60" s="7" t="s">
        <v>494</v>
      </c>
      <c r="D60">
        <v>36.095238095238102</v>
      </c>
      <c r="E60" s="7">
        <v>56</v>
      </c>
      <c r="F60" s="7"/>
      <c r="G60" s="1">
        <f t="shared" si="3"/>
        <v>36.246457551094856</v>
      </c>
      <c r="H60" s="1">
        <f t="shared" si="4"/>
        <v>36.192230834258837</v>
      </c>
      <c r="I60" s="1">
        <f t="shared" si="5"/>
        <v>36.138004117422817</v>
      </c>
      <c r="J60" s="1"/>
      <c r="K60" s="32"/>
      <c r="L60" s="1">
        <f t="shared" si="6"/>
        <v>2.2867323829612873E-2</v>
      </c>
      <c r="M60" s="1">
        <f t="shared" si="7"/>
        <v>9.4075914227443273E-3</v>
      </c>
      <c r="N60" s="1">
        <f t="shared" si="8"/>
        <v>1.8289326535035197E-3</v>
      </c>
    </row>
    <row r="61" spans="1:14" x14ac:dyDescent="0.25">
      <c r="A61" s="18" t="s">
        <v>287</v>
      </c>
      <c r="B61" s="19" t="str">
        <f>LEFT(TRIM(dataset_2025_11_17T13_30_33_170025752Z_DEFAULT_INTEGRATION_IMF_RES_PCPS_9_0_0[[#This Row],[TIME_PERIOD]]),4)</f>
        <v>2015</v>
      </c>
      <c r="C61" s="7" t="s">
        <v>495</v>
      </c>
      <c r="D61">
        <v>37.056818181818201</v>
      </c>
      <c r="E61" s="7">
        <v>57</v>
      </c>
      <c r="F61" s="7"/>
      <c r="G61" s="1">
        <f t="shared" si="3"/>
        <v>36.125481986409454</v>
      </c>
      <c r="H61" s="1">
        <f t="shared" si="4"/>
        <v>36.170847823166483</v>
      </c>
      <c r="I61" s="1">
        <f t="shared" si="5"/>
        <v>36.216213659923504</v>
      </c>
      <c r="J61" s="1"/>
      <c r="K61" s="32"/>
      <c r="L61" s="1">
        <f t="shared" si="6"/>
        <v>0.86738710887843962</v>
      </c>
      <c r="M61" s="1">
        <f t="shared" si="7"/>
        <v>0.78494347640945461</v>
      </c>
      <c r="N61" s="1">
        <f t="shared" si="8"/>
        <v>0.70661596222981238</v>
      </c>
    </row>
    <row r="62" spans="1:14" x14ac:dyDescent="0.25">
      <c r="A62" s="20" t="s">
        <v>288</v>
      </c>
      <c r="B62" s="21" t="str">
        <f>LEFT(TRIM(dataset_2025_11_17T13_30_33_170025752Z_DEFAULT_INTEGRATION_IMF_RES_PCPS_9_0_0[[#This Row],[TIME_PERIOD]]),4)</f>
        <v>2016</v>
      </c>
      <c r="C62" s="7" t="s">
        <v>496</v>
      </c>
      <c r="D62">
        <v>37.238636363636402</v>
      </c>
      <c r="E62" s="7">
        <v>58</v>
      </c>
      <c r="F62" s="7"/>
      <c r="G62" s="1">
        <f t="shared" si="3"/>
        <v>36.870550942736458</v>
      </c>
      <c r="H62" s="1">
        <f t="shared" si="4"/>
        <v>36.591150084113828</v>
      </c>
      <c r="I62" s="1">
        <f t="shared" si="5"/>
        <v>36.311749225491205</v>
      </c>
      <c r="J62" s="1"/>
      <c r="K62" s="32"/>
      <c r="L62" s="1">
        <f t="shared" si="6"/>
        <v>0.1354868770790896</v>
      </c>
      <c r="M62" s="1">
        <f t="shared" si="7"/>
        <v>0.41923848216998566</v>
      </c>
      <c r="N62" s="1">
        <f t="shared" si="8"/>
        <v>0.85911976685899405</v>
      </c>
    </row>
    <row r="63" spans="1:14" x14ac:dyDescent="0.25">
      <c r="A63" s="18" t="s">
        <v>289</v>
      </c>
      <c r="B63" s="19" t="str">
        <f>LEFT(TRIM(dataset_2025_11_17T13_30_33_170025752Z_DEFAULT_INTEGRATION_IMF_RES_PCPS_9_0_0[[#This Row],[TIME_PERIOD]]),4)</f>
        <v>2016</v>
      </c>
      <c r="C63" s="7" t="s">
        <v>497</v>
      </c>
      <c r="D63">
        <v>35.964285714285701</v>
      </c>
      <c r="E63" s="7">
        <v>59</v>
      </c>
      <c r="F63" s="7"/>
      <c r="G63" s="1">
        <f t="shared" si="3"/>
        <v>37.165019279456416</v>
      </c>
      <c r="H63" s="1">
        <f t="shared" si="4"/>
        <v>37.05459365318643</v>
      </c>
      <c r="I63" s="1">
        <f t="shared" si="5"/>
        <v>36.944168026916444</v>
      </c>
      <c r="J63" s="1"/>
      <c r="K63" s="32"/>
      <c r="L63" s="1">
        <f t="shared" si="6"/>
        <v>1.4417610945275761</v>
      </c>
      <c r="M63" s="1">
        <f t="shared" si="7"/>
        <v>1.1887714016299555</v>
      </c>
      <c r="N63" s="1">
        <f t="shared" si="8"/>
        <v>0.96016934660657227</v>
      </c>
    </row>
    <row r="64" spans="1:14" x14ac:dyDescent="0.25">
      <c r="A64" s="20" t="s">
        <v>290</v>
      </c>
      <c r="B64" s="21" t="str">
        <f>LEFT(TRIM(dataset_2025_11_17T13_30_33_170025752Z_DEFAULT_INTEGRATION_IMF_RES_PCPS_9_0_0[[#This Row],[TIME_PERIOD]]),4)</f>
        <v>2016</v>
      </c>
      <c r="C64" s="7" t="s">
        <v>498</v>
      </c>
      <c r="D64">
        <v>35.163043478260903</v>
      </c>
      <c r="E64" s="7">
        <v>60</v>
      </c>
      <c r="F64" s="7"/>
      <c r="G64" s="1">
        <f t="shared" si="3"/>
        <v>36.204432427319844</v>
      </c>
      <c r="H64" s="1">
        <f t="shared" si="4"/>
        <v>36.564652496871062</v>
      </c>
      <c r="I64" s="1">
        <f t="shared" si="5"/>
        <v>36.924872566422273</v>
      </c>
      <c r="J64" s="1"/>
      <c r="K64" s="32"/>
      <c r="L64" s="1">
        <f t="shared" si="6"/>
        <v>1.0844909432220859</v>
      </c>
      <c r="M64" s="1">
        <f t="shared" si="7"/>
        <v>1.964507841049334</v>
      </c>
      <c r="N64" s="1">
        <f t="shared" si="8"/>
        <v>3.1040417358915255</v>
      </c>
    </row>
    <row r="65" spans="1:14" x14ac:dyDescent="0.25">
      <c r="A65" s="18" t="s">
        <v>291</v>
      </c>
      <c r="B65" s="19" t="str">
        <f>LEFT(TRIM(dataset_2025_11_17T13_30_33_170025752Z_DEFAULT_INTEGRATION_IMF_RES_PCPS_9_0_0[[#This Row],[TIME_PERIOD]]),4)</f>
        <v>2016</v>
      </c>
      <c r="C65" s="7" t="s">
        <v>487</v>
      </c>
      <c r="D65">
        <v>34.690476190476197</v>
      </c>
      <c r="E65" s="7">
        <v>61</v>
      </c>
      <c r="F65" s="7"/>
      <c r="G65" s="1">
        <f t="shared" si="3"/>
        <v>35.371321268072691</v>
      </c>
      <c r="H65" s="1">
        <f t="shared" si="4"/>
        <v>35.683737952790374</v>
      </c>
      <c r="I65" s="1">
        <f t="shared" si="5"/>
        <v>35.996154637508056</v>
      </c>
      <c r="J65" s="1"/>
      <c r="K65" s="32"/>
      <c r="L65" s="1">
        <f t="shared" si="6"/>
        <v>0.4635500196873763</v>
      </c>
      <c r="M65" s="1">
        <f t="shared" si="7"/>
        <v>0.98656892847546385</v>
      </c>
      <c r="N65" s="1">
        <f t="shared" si="8"/>
        <v>1.704796207043527</v>
      </c>
    </row>
    <row r="66" spans="1:14" x14ac:dyDescent="0.25">
      <c r="A66" s="20" t="s">
        <v>292</v>
      </c>
      <c r="B66" s="21" t="str">
        <f>LEFT(TRIM(dataset_2025_11_17T13_30_33_170025752Z_DEFAULT_INTEGRATION_IMF_RES_PCPS_9_0_0[[#This Row],[TIME_PERIOD]]),4)</f>
        <v>2016</v>
      </c>
      <c r="C66" s="7" t="s">
        <v>488</v>
      </c>
      <c r="D66">
        <v>34.007142857142902</v>
      </c>
      <c r="E66" s="7">
        <v>62</v>
      </c>
      <c r="F66" s="7"/>
      <c r="G66" s="1">
        <f t="shared" si="3"/>
        <v>34.826645205995497</v>
      </c>
      <c r="H66" s="1">
        <f t="shared" si="4"/>
        <v>35.03089872927444</v>
      </c>
      <c r="I66" s="1">
        <f t="shared" si="5"/>
        <v>35.235152252553391</v>
      </c>
      <c r="J66" s="1"/>
      <c r="K66" s="32"/>
      <c r="L66" s="1">
        <f t="shared" si="6"/>
        <v>0.67158409977491995</v>
      </c>
      <c r="M66" s="1">
        <f t="shared" si="7"/>
        <v>1.0480760857238061</v>
      </c>
      <c r="N66" s="1">
        <f t="shared" si="8"/>
        <v>1.5080070752164334</v>
      </c>
    </row>
    <row r="67" spans="1:14" x14ac:dyDescent="0.25">
      <c r="A67" s="18" t="s">
        <v>293</v>
      </c>
      <c r="B67" s="19" t="str">
        <f>LEFT(TRIM(dataset_2025_11_17T13_30_33_170025752Z_DEFAULT_INTEGRATION_IMF_RES_PCPS_9_0_0[[#This Row],[TIME_PERIOD]]),4)</f>
        <v>2016</v>
      </c>
      <c r="C67" s="7" t="s">
        <v>489</v>
      </c>
      <c r="D67">
        <v>30.1065217391304</v>
      </c>
      <c r="E67" s="7">
        <v>63</v>
      </c>
      <c r="F67" s="7"/>
      <c r="G67" s="1">
        <f t="shared" si="3"/>
        <v>34.17104332691342</v>
      </c>
      <c r="H67" s="1">
        <f t="shared" si="4"/>
        <v>34.4168940315692</v>
      </c>
      <c r="I67" s="1">
        <f t="shared" si="5"/>
        <v>34.66274473622498</v>
      </c>
      <c r="J67" s="1"/>
      <c r="K67" s="32"/>
      <c r="L67" s="1">
        <f t="shared" si="6"/>
        <v>16.520335737554198</v>
      </c>
      <c r="M67" s="1">
        <f t="shared" si="7"/>
        <v>18.579309299424111</v>
      </c>
      <c r="N67" s="1">
        <f t="shared" si="8"/>
        <v>20.75916799925351</v>
      </c>
    </row>
    <row r="68" spans="1:14" x14ac:dyDescent="0.25">
      <c r="A68" s="20" t="s">
        <v>294</v>
      </c>
      <c r="B68" s="21" t="str">
        <f>LEFT(TRIM(dataset_2025_11_17T13_30_33_170025752Z_DEFAULT_INTEGRATION_IMF_RES_PCPS_9_0_0[[#This Row],[TIME_PERIOD]]),4)</f>
        <v>2016</v>
      </c>
      <c r="C68" s="7" t="s">
        <v>490</v>
      </c>
      <c r="D68">
        <v>27.816666666666698</v>
      </c>
      <c r="E68" s="7">
        <v>64</v>
      </c>
      <c r="F68" s="7"/>
      <c r="G68" s="1">
        <f t="shared" si="3"/>
        <v>30.919426056687008</v>
      </c>
      <c r="H68" s="1">
        <f t="shared" si="4"/>
        <v>32.13878253302191</v>
      </c>
      <c r="I68" s="1">
        <f t="shared" si="5"/>
        <v>33.358139009356819</v>
      </c>
      <c r="J68" s="1"/>
      <c r="K68" s="32"/>
      <c r="L68" s="1">
        <f t="shared" si="6"/>
        <v>9.6271158323592072</v>
      </c>
      <c r="M68" s="1">
        <f t="shared" si="7"/>
        <v>18.680685562199461</v>
      </c>
      <c r="N68" s="1">
        <f t="shared" si="8"/>
        <v>30.70791572479953</v>
      </c>
    </row>
    <row r="69" spans="1:14" x14ac:dyDescent="0.25">
      <c r="A69" s="18" t="s">
        <v>295</v>
      </c>
      <c r="B69" s="19" t="str">
        <f>LEFT(TRIM(dataset_2025_11_17T13_30_33_170025752Z_DEFAULT_INTEGRATION_IMF_RES_PCPS_9_0_0[[#This Row],[TIME_PERIOD]]),4)</f>
        <v>2016</v>
      </c>
      <c r="C69" s="7" t="s">
        <v>491</v>
      </c>
      <c r="D69">
        <v>27.954545454545499</v>
      </c>
      <c r="E69" s="7">
        <v>65</v>
      </c>
      <c r="F69" s="7"/>
      <c r="G69" s="1">
        <f t="shared" si="3"/>
        <v>28.43721854467076</v>
      </c>
      <c r="H69" s="1">
        <f t="shared" si="4"/>
        <v>29.368046361676853</v>
      </c>
      <c r="I69" s="1">
        <f t="shared" si="5"/>
        <v>30.298874178682947</v>
      </c>
      <c r="J69" s="1"/>
      <c r="K69" s="32"/>
      <c r="L69" s="1">
        <f t="shared" si="6"/>
        <v>0.23297331193106763</v>
      </c>
      <c r="M69" s="1">
        <f t="shared" si="7"/>
        <v>1.9979848144611607</v>
      </c>
      <c r="N69" s="1">
        <f t="shared" si="8"/>
        <v>5.4958771668159132</v>
      </c>
    </row>
    <row r="70" spans="1:14" x14ac:dyDescent="0.25">
      <c r="A70" s="20" t="s">
        <v>296</v>
      </c>
      <c r="B70" s="21" t="str">
        <f>LEFT(TRIM(dataset_2025_11_17T13_30_33_170025752Z_DEFAULT_INTEGRATION_IMF_RES_PCPS_9_0_0[[#This Row],[TIME_PERIOD]]),4)</f>
        <v>2016</v>
      </c>
      <c r="C70" s="7" t="s">
        <v>492</v>
      </c>
      <c r="D70">
        <v>27.352272727272702</v>
      </c>
      <c r="E70" s="7">
        <v>66</v>
      </c>
      <c r="F70" s="7"/>
      <c r="G70" s="1">
        <f t="shared" si="3"/>
        <v>28.051080072570556</v>
      </c>
      <c r="H70" s="1">
        <f t="shared" si="4"/>
        <v>28.19588199960813</v>
      </c>
      <c r="I70" s="1">
        <f t="shared" si="5"/>
        <v>28.34068392664571</v>
      </c>
      <c r="J70" s="1"/>
      <c r="K70" s="32"/>
      <c r="L70" s="1">
        <f t="shared" ref="L70:L101" si="9">(G70-$D70)^2</f>
        <v>0.48833170584223512</v>
      </c>
      <c r="M70" s="1">
        <f t="shared" ref="M70:M101" si="10">(H70-$D70)^2</f>
        <v>0.71167660437031</v>
      </c>
      <c r="N70" s="1">
        <f t="shared" ref="N70:N101" si="11">(I70-$D70)^2</f>
        <v>0.97695669904598825</v>
      </c>
    </row>
    <row r="71" spans="1:14" x14ac:dyDescent="0.25">
      <c r="A71" s="18" t="s">
        <v>297</v>
      </c>
      <c r="B71" s="19" t="str">
        <f>LEFT(TRIM(dataset_2025_11_17T13_30_33_170025752Z_DEFAULT_INTEGRATION_IMF_RES_PCPS_9_0_0[[#This Row],[TIME_PERIOD]]),4)</f>
        <v>2016</v>
      </c>
      <c r="C71" s="7" t="s">
        <v>493</v>
      </c>
      <c r="D71">
        <v>25.845238095238098</v>
      </c>
      <c r="E71" s="7">
        <v>67</v>
      </c>
      <c r="F71" s="7"/>
      <c r="G71" s="1">
        <f t="shared" si="3"/>
        <v>27.492034196332273</v>
      </c>
      <c r="H71" s="1">
        <f t="shared" si="4"/>
        <v>27.701676399921631</v>
      </c>
      <c r="I71" s="1">
        <f t="shared" si="5"/>
        <v>27.911318603510988</v>
      </c>
      <c r="J71" s="1"/>
      <c r="K71" s="32"/>
      <c r="L71" s="1">
        <f t="shared" si="9"/>
        <v>2.7119373985789763</v>
      </c>
      <c r="M71" s="1">
        <f t="shared" si="10"/>
        <v>3.4463631790962679</v>
      </c>
      <c r="N71" s="1">
        <f t="shared" si="11"/>
        <v>4.2686886666651631</v>
      </c>
    </row>
    <row r="72" spans="1:14" x14ac:dyDescent="0.25">
      <c r="A72" s="20" t="s">
        <v>298</v>
      </c>
      <c r="B72" s="21" t="str">
        <f>LEFT(TRIM(dataset_2025_11_17T13_30_33_170025752Z_DEFAULT_INTEGRATION_IMF_RES_PCPS_9_0_0[[#This Row],[TIME_PERIOD]]),4)</f>
        <v>2016</v>
      </c>
      <c r="C72" s="7" t="s">
        <v>494</v>
      </c>
      <c r="D72">
        <v>25.902173913043502</v>
      </c>
      <c r="E72" s="7">
        <v>68</v>
      </c>
      <c r="F72" s="7"/>
      <c r="G72" s="1">
        <f t="shared" ref="G72:G135" si="12">$G$4*G71+(1-$G$4)*D71</f>
        <v>26.174597315456936</v>
      </c>
      <c r="H72" s="1">
        <f t="shared" ref="H72:H135" si="13">$H$4*G71+(1-$H$4)*D71</f>
        <v>26.668636145785186</v>
      </c>
      <c r="I72" s="1">
        <f t="shared" ref="I72:I135" si="14">$I$4*G71+(1-$I$4)*D71</f>
        <v>27.162674976113436</v>
      </c>
      <c r="J72" s="1"/>
      <c r="K72" s="32"/>
      <c r="L72" s="1">
        <f t="shared" si="9"/>
        <v>7.4214510182511795E-2</v>
      </c>
      <c r="M72" s="1">
        <f t="shared" si="10"/>
        <v>0.58746435421936793</v>
      </c>
      <c r="N72" s="1">
        <f t="shared" si="11"/>
        <v>1.5888629300004355</v>
      </c>
    </row>
    <row r="73" spans="1:14" x14ac:dyDescent="0.25">
      <c r="A73" s="18" t="s">
        <v>299</v>
      </c>
      <c r="B73" s="19" t="str">
        <f>LEFT(TRIM(dataset_2025_11_17T13_30_33_170025752Z_DEFAULT_INTEGRATION_IMF_RES_PCPS_9_0_0[[#This Row],[TIME_PERIOD]]),4)</f>
        <v>2016</v>
      </c>
      <c r="C73" s="7" t="s">
        <v>495</v>
      </c>
      <c r="D73">
        <v>24.875</v>
      </c>
      <c r="E73" s="7">
        <v>69</v>
      </c>
      <c r="F73" s="7"/>
      <c r="G73" s="1">
        <f t="shared" si="12"/>
        <v>25.956658593526189</v>
      </c>
      <c r="H73" s="1">
        <f t="shared" si="13"/>
        <v>26.038385614250217</v>
      </c>
      <c r="I73" s="1">
        <f t="shared" si="14"/>
        <v>26.120112634974248</v>
      </c>
      <c r="J73" s="1"/>
      <c r="K73" s="32"/>
      <c r="L73" s="1">
        <f t="shared" si="9"/>
        <v>1.1699853129490536</v>
      </c>
      <c r="M73" s="1">
        <f t="shared" si="10"/>
        <v>1.3534660874443543</v>
      </c>
      <c r="N73" s="1">
        <f t="shared" si="11"/>
        <v>1.550305473772515</v>
      </c>
    </row>
    <row r="74" spans="1:14" x14ac:dyDescent="0.25">
      <c r="A74" s="20" t="s">
        <v>300</v>
      </c>
      <c r="B74" s="21" t="str">
        <f>LEFT(TRIM(dataset_2025_11_17T13_30_33_170025752Z_DEFAULT_INTEGRATION_IMF_RES_PCPS_9_0_0[[#This Row],[TIME_PERIOD]]),4)</f>
        <v>2017</v>
      </c>
      <c r="C74" s="7" t="s">
        <v>496</v>
      </c>
      <c r="D74">
        <v>21.488095238095202</v>
      </c>
      <c r="E74" s="7">
        <v>70</v>
      </c>
      <c r="F74" s="7"/>
      <c r="G74" s="1">
        <f t="shared" si="12"/>
        <v>25.091331718705241</v>
      </c>
      <c r="H74" s="1">
        <f t="shared" si="13"/>
        <v>25.415829296763093</v>
      </c>
      <c r="I74" s="1">
        <f t="shared" si="14"/>
        <v>25.740326874820951</v>
      </c>
      <c r="J74" s="1"/>
      <c r="K74" s="32"/>
      <c r="L74" s="1">
        <f t="shared" si="9"/>
        <v>12.983313135199024</v>
      </c>
      <c r="M74" s="1">
        <f t="shared" si="10"/>
        <v>15.427094835619744</v>
      </c>
      <c r="N74" s="1">
        <f t="shared" si="11"/>
        <v>18.081473892371346</v>
      </c>
    </row>
    <row r="75" spans="1:14" x14ac:dyDescent="0.25">
      <c r="A75" s="18" t="s">
        <v>301</v>
      </c>
      <c r="B75" s="19" t="str">
        <f>LEFT(TRIM(dataset_2025_11_17T13_30_33_170025752Z_DEFAULT_INTEGRATION_IMF_RES_PCPS_9_0_0[[#This Row],[TIME_PERIOD]]),4)</f>
        <v>2017</v>
      </c>
      <c r="C75" s="7" t="s">
        <v>497</v>
      </c>
      <c r="D75">
        <v>18.568181818181799</v>
      </c>
      <c r="E75" s="7">
        <v>71</v>
      </c>
      <c r="F75" s="7"/>
      <c r="G75" s="1">
        <f t="shared" si="12"/>
        <v>22.208742534217208</v>
      </c>
      <c r="H75" s="1">
        <f t="shared" si="13"/>
        <v>23.289713478400223</v>
      </c>
      <c r="I75" s="1">
        <f t="shared" si="14"/>
        <v>24.370684422583235</v>
      </c>
      <c r="J75" s="1"/>
      <c r="K75" s="32"/>
      <c r="L75" s="1">
        <f t="shared" si="9"/>
        <v>13.253682327140252</v>
      </c>
      <c r="M75" s="1">
        <f t="shared" si="10"/>
        <v>22.292861218444951</v>
      </c>
      <c r="N75" s="1">
        <f t="shared" si="11"/>
        <v>33.669036474085445</v>
      </c>
    </row>
    <row r="76" spans="1:14" x14ac:dyDescent="0.25">
      <c r="A76" s="20" t="s">
        <v>302</v>
      </c>
      <c r="B76" s="21" t="str">
        <f>LEFT(TRIM(dataset_2025_11_17T13_30_33_170025752Z_DEFAULT_INTEGRATION_IMF_RES_PCPS_9_0_0[[#This Row],[TIME_PERIOD]]),4)</f>
        <v>2017</v>
      </c>
      <c r="C76" s="7" t="s">
        <v>498</v>
      </c>
      <c r="D76">
        <v>19.215909090909101</v>
      </c>
      <c r="E76" s="7">
        <v>72</v>
      </c>
      <c r="F76" s="7"/>
      <c r="G76" s="1">
        <f t="shared" si="12"/>
        <v>19.29629396138888</v>
      </c>
      <c r="H76" s="1">
        <f t="shared" si="13"/>
        <v>20.388462176199504</v>
      </c>
      <c r="I76" s="1">
        <f t="shared" si="14"/>
        <v>21.480630391010124</v>
      </c>
      <c r="J76" s="1"/>
      <c r="K76" s="32"/>
      <c r="L76" s="1">
        <f t="shared" si="9"/>
        <v>6.461727402050906E-3</v>
      </c>
      <c r="M76" s="1">
        <f t="shared" si="10"/>
        <v>1.3748807378240429</v>
      </c>
      <c r="N76" s="1">
        <f t="shared" si="11"/>
        <v>5.1289625671312677</v>
      </c>
    </row>
    <row r="77" spans="1:14" x14ac:dyDescent="0.25">
      <c r="A77" s="18" t="s">
        <v>303</v>
      </c>
      <c r="B77" s="19" t="str">
        <f>LEFT(TRIM(dataset_2025_11_17T13_30_33_170025752Z_DEFAULT_INTEGRATION_IMF_RES_PCPS_9_0_0[[#This Row],[TIME_PERIOD]]),4)</f>
        <v>2017</v>
      </c>
      <c r="C77" s="7" t="s">
        <v>487</v>
      </c>
      <c r="D77">
        <v>22.170454545454501</v>
      </c>
      <c r="E77" s="7">
        <v>73</v>
      </c>
      <c r="F77" s="7"/>
      <c r="G77" s="1">
        <f t="shared" si="12"/>
        <v>19.23198606500506</v>
      </c>
      <c r="H77" s="1">
        <f t="shared" si="13"/>
        <v>19.256101526148989</v>
      </c>
      <c r="I77" s="1">
        <f t="shared" si="14"/>
        <v>19.280216987292924</v>
      </c>
      <c r="J77" s="1"/>
      <c r="K77" s="32"/>
      <c r="L77" s="1">
        <f t="shared" si="9"/>
        <v>8.6345970105948435</v>
      </c>
      <c r="M77" s="1">
        <f t="shared" si="10"/>
        <v>8.4934535211351552</v>
      </c>
      <c r="N77" s="1">
        <f t="shared" si="11"/>
        <v>8.3534731426077915</v>
      </c>
    </row>
    <row r="78" spans="1:14" x14ac:dyDescent="0.25">
      <c r="A78" s="20" t="s">
        <v>304</v>
      </c>
      <c r="B78" s="21" t="str">
        <f>LEFT(TRIM(dataset_2025_11_17T13_30_33_170025752Z_DEFAULT_INTEGRATION_IMF_RES_PCPS_9_0_0[[#This Row],[TIME_PERIOD]]),4)</f>
        <v>2017</v>
      </c>
      <c r="C78" s="7" t="s">
        <v>488</v>
      </c>
      <c r="D78">
        <v>25.15</v>
      </c>
      <c r="E78" s="7">
        <v>74</v>
      </c>
      <c r="F78" s="7"/>
      <c r="G78" s="1">
        <f t="shared" si="12"/>
        <v>21.582760849364615</v>
      </c>
      <c r="H78" s="1">
        <f t="shared" si="13"/>
        <v>20.701220305229782</v>
      </c>
      <c r="I78" s="1">
        <f t="shared" si="14"/>
        <v>19.819679761094946</v>
      </c>
      <c r="J78" s="1"/>
      <c r="K78" s="32"/>
      <c r="L78" s="1">
        <f t="shared" si="9"/>
        <v>12.725195157825857</v>
      </c>
      <c r="M78" s="1">
        <f t="shared" si="10"/>
        <v>19.791640772599781</v>
      </c>
      <c r="N78" s="1">
        <f t="shared" si="11"/>
        <v>28.412313849280817</v>
      </c>
    </row>
    <row r="79" spans="1:14" x14ac:dyDescent="0.25">
      <c r="A79" s="18" t="s">
        <v>305</v>
      </c>
      <c r="B79" s="19" t="str">
        <f>LEFT(TRIM(dataset_2025_11_17T13_30_33_170025752Z_DEFAULT_INTEGRATION_IMF_RES_PCPS_9_0_0[[#This Row],[TIME_PERIOD]]),4)</f>
        <v>2017</v>
      </c>
      <c r="C79" s="7" t="s">
        <v>489</v>
      </c>
      <c r="D79">
        <v>24.6413043478261</v>
      </c>
      <c r="E79" s="7">
        <v>75</v>
      </c>
      <c r="F79" s="7"/>
      <c r="G79" s="1">
        <f t="shared" si="12"/>
        <v>24.436552169872925</v>
      </c>
      <c r="H79" s="1">
        <f t="shared" si="13"/>
        <v>23.366380424682305</v>
      </c>
      <c r="I79" s="1">
        <f t="shared" si="14"/>
        <v>22.296208679491691</v>
      </c>
      <c r="J79" s="1"/>
      <c r="K79" s="32"/>
      <c r="L79" s="1">
        <f t="shared" si="9"/>
        <v>4.1923454376568602E-2</v>
      </c>
      <c r="M79" s="1">
        <f t="shared" si="10"/>
        <v>1.6254310098043665</v>
      </c>
      <c r="N79" s="1">
        <f t="shared" si="11"/>
        <v>5.499473693640808</v>
      </c>
    </row>
    <row r="80" spans="1:14" x14ac:dyDescent="0.25">
      <c r="A80" s="20" t="s">
        <v>306</v>
      </c>
      <c r="B80" s="21" t="str">
        <f>LEFT(TRIM(dataset_2025_11_17T13_30_33_170025752Z_DEFAULT_INTEGRATION_IMF_RES_PCPS_9_0_0[[#This Row],[TIME_PERIOD]]),4)</f>
        <v>2017</v>
      </c>
      <c r="C80" s="7" t="s">
        <v>490</v>
      </c>
      <c r="D80">
        <v>23.25</v>
      </c>
      <c r="E80" s="7">
        <v>76</v>
      </c>
      <c r="F80" s="7"/>
      <c r="G80" s="1">
        <f t="shared" si="12"/>
        <v>24.60035391223547</v>
      </c>
      <c r="H80" s="1">
        <f t="shared" si="13"/>
        <v>24.538928258849513</v>
      </c>
      <c r="I80" s="1">
        <f t="shared" si="14"/>
        <v>24.47750260546356</v>
      </c>
      <c r="J80" s="1"/>
      <c r="K80" s="32"/>
      <c r="L80" s="1">
        <f t="shared" si="9"/>
        <v>1.8234556882896382</v>
      </c>
      <c r="M80" s="1">
        <f t="shared" si="10"/>
        <v>1.6613360564608366</v>
      </c>
      <c r="N80" s="1">
        <f t="shared" si="11"/>
        <v>1.5067626464198274</v>
      </c>
    </row>
    <row r="81" spans="1:14" x14ac:dyDescent="0.25">
      <c r="A81" s="18" t="s">
        <v>307</v>
      </c>
      <c r="B81" s="19" t="str">
        <f>LEFT(TRIM(dataset_2025_11_17T13_30_33_170025752Z_DEFAULT_INTEGRATION_IMF_RES_PCPS_9_0_0[[#This Row],[TIME_PERIOD]]),4)</f>
        <v>2017</v>
      </c>
      <c r="C81" s="7" t="s">
        <v>491</v>
      </c>
      <c r="D81">
        <v>21.6413043478261</v>
      </c>
      <c r="E81" s="7">
        <v>77</v>
      </c>
      <c r="F81" s="7"/>
      <c r="G81" s="1">
        <f t="shared" si="12"/>
        <v>23.520070782447096</v>
      </c>
      <c r="H81" s="1">
        <f t="shared" si="13"/>
        <v>23.925176956117735</v>
      </c>
      <c r="I81" s="1">
        <f t="shared" si="14"/>
        <v>24.330283129788377</v>
      </c>
      <c r="J81" s="1"/>
      <c r="K81" s="32"/>
      <c r="L81" s="1">
        <f t="shared" si="9"/>
        <v>3.5297633158584887</v>
      </c>
      <c r="M81" s="1">
        <f t="shared" si="10"/>
        <v>5.2160740909048338</v>
      </c>
      <c r="N81" s="1">
        <f t="shared" si="11"/>
        <v>7.2306068898433296</v>
      </c>
    </row>
    <row r="82" spans="1:14" x14ac:dyDescent="0.25">
      <c r="A82" s="20" t="s">
        <v>308</v>
      </c>
      <c r="B82" s="21" t="str">
        <f>LEFT(TRIM(dataset_2025_11_17T13_30_33_170025752Z_DEFAULT_INTEGRATION_IMF_RES_PCPS_9_0_0[[#This Row],[TIME_PERIOD]]),4)</f>
        <v>2017</v>
      </c>
      <c r="C82" s="7" t="s">
        <v>492</v>
      </c>
      <c r="D82">
        <v>19.75</v>
      </c>
      <c r="E82" s="7">
        <v>78</v>
      </c>
      <c r="F82" s="7"/>
      <c r="G82" s="1">
        <f t="shared" si="12"/>
        <v>22.017057634750302</v>
      </c>
      <c r="H82" s="1">
        <f t="shared" si="13"/>
        <v>22.5806875651366</v>
      </c>
      <c r="I82" s="1">
        <f t="shared" si="14"/>
        <v>23.144317495522898</v>
      </c>
      <c r="J82" s="1"/>
      <c r="K82" s="32"/>
      <c r="L82" s="1">
        <f t="shared" si="9"/>
        <v>5.1395503192796319</v>
      </c>
      <c r="M82" s="1">
        <f t="shared" si="10"/>
        <v>8.012792091418973</v>
      </c>
      <c r="N82" s="1">
        <f t="shared" si="11"/>
        <v>11.521391260412841</v>
      </c>
    </row>
    <row r="83" spans="1:14" x14ac:dyDescent="0.25">
      <c r="A83" s="18" t="s">
        <v>309</v>
      </c>
      <c r="B83" s="19" t="str">
        <f>LEFT(TRIM(dataset_2025_11_17T13_30_33_170025752Z_DEFAULT_INTEGRATION_IMF_RES_PCPS_9_0_0[[#This Row],[TIME_PERIOD]]),4)</f>
        <v>2017</v>
      </c>
      <c r="C83" s="7" t="s">
        <v>493</v>
      </c>
      <c r="D83">
        <v>20.3642857142857</v>
      </c>
      <c r="E83" s="7">
        <v>79</v>
      </c>
      <c r="F83" s="7"/>
      <c r="G83" s="1">
        <f t="shared" si="12"/>
        <v>20.203411526950063</v>
      </c>
      <c r="H83" s="1">
        <f t="shared" si="13"/>
        <v>20.883528817375151</v>
      </c>
      <c r="I83" s="1">
        <f t="shared" si="14"/>
        <v>21.563646107800242</v>
      </c>
      <c r="J83" s="1"/>
      <c r="K83" s="32"/>
      <c r="L83" s="1">
        <f t="shared" si="9"/>
        <v>2.5880504150901474E-2</v>
      </c>
      <c r="M83" s="1">
        <f t="shared" si="10"/>
        <v>0.26961340010596235</v>
      </c>
      <c r="N83" s="1">
        <f t="shared" si="11"/>
        <v>1.4384653535313576</v>
      </c>
    </row>
    <row r="84" spans="1:14" x14ac:dyDescent="0.25">
      <c r="A84" s="20" t="s">
        <v>310</v>
      </c>
      <c r="B84" s="21" t="str">
        <f>LEFT(TRIM(dataset_2025_11_17T13_30_33_170025752Z_DEFAULT_INTEGRATION_IMF_RES_PCPS_9_0_0[[#This Row],[TIME_PERIOD]]),4)</f>
        <v>2017</v>
      </c>
      <c r="C84" s="7" t="s">
        <v>494</v>
      </c>
      <c r="D84">
        <v>20.406521739130401</v>
      </c>
      <c r="E84" s="7">
        <v>80</v>
      </c>
      <c r="F84" s="7"/>
      <c r="G84" s="1">
        <f t="shared" si="12"/>
        <v>20.332110876818575</v>
      </c>
      <c r="H84" s="1">
        <f t="shared" si="13"/>
        <v>20.283848620617881</v>
      </c>
      <c r="I84" s="1">
        <f t="shared" si="14"/>
        <v>20.235586364417191</v>
      </c>
      <c r="J84" s="1"/>
      <c r="K84" s="32"/>
      <c r="L84" s="1">
        <f t="shared" si="9"/>
        <v>5.5369764299894987E-3</v>
      </c>
      <c r="M84" s="1">
        <f t="shared" si="10"/>
        <v>1.504869400558668E-2</v>
      </c>
      <c r="N84" s="1">
        <f t="shared" si="11"/>
        <v>2.9218902328345463E-2</v>
      </c>
    </row>
    <row r="85" spans="1:14" x14ac:dyDescent="0.25">
      <c r="A85" s="18" t="s">
        <v>311</v>
      </c>
      <c r="B85" s="19" t="str">
        <f>LEFT(TRIM(dataset_2025_11_17T13_30_33_170025752Z_DEFAULT_INTEGRATION_IMF_RES_PCPS_9_0_0[[#This Row],[TIME_PERIOD]]),4)</f>
        <v>2017</v>
      </c>
      <c r="C85" s="7" t="s">
        <v>495</v>
      </c>
      <c r="D85">
        <v>20.428571428571399</v>
      </c>
      <c r="E85" s="7">
        <v>81</v>
      </c>
      <c r="F85" s="7"/>
      <c r="G85" s="1">
        <f t="shared" si="12"/>
        <v>20.391639566668037</v>
      </c>
      <c r="H85" s="1">
        <f t="shared" si="13"/>
        <v>20.369316307974486</v>
      </c>
      <c r="I85" s="1">
        <f t="shared" si="14"/>
        <v>20.34699304928094</v>
      </c>
      <c r="J85" s="1"/>
      <c r="K85" s="32"/>
      <c r="L85" s="1">
        <f t="shared" si="9"/>
        <v>1.3639624236490061E-3</v>
      </c>
      <c r="M85" s="1">
        <f t="shared" si="10"/>
        <v>3.5111693169546194E-3</v>
      </c>
      <c r="N85" s="1">
        <f t="shared" si="11"/>
        <v>6.6550319676579846E-3</v>
      </c>
    </row>
    <row r="86" spans="1:14" x14ac:dyDescent="0.25">
      <c r="A86" s="20" t="s">
        <v>312</v>
      </c>
      <c r="B86" s="21" t="str">
        <f>LEFT(TRIM(dataset_2025_11_17T13_30_33_170025752Z_DEFAULT_INTEGRATION_IMF_RES_PCPS_9_0_0[[#This Row],[TIME_PERIOD]]),4)</f>
        <v>2018</v>
      </c>
      <c r="C86" s="7" t="s">
        <v>496</v>
      </c>
      <c r="D86">
        <v>20.234090909090899</v>
      </c>
      <c r="E86" s="7">
        <v>82</v>
      </c>
      <c r="F86" s="7"/>
      <c r="G86" s="1">
        <f t="shared" si="12"/>
        <v>20.42118505619073</v>
      </c>
      <c r="H86" s="1">
        <f t="shared" si="13"/>
        <v>20.410105497619718</v>
      </c>
      <c r="I86" s="1">
        <f t="shared" si="14"/>
        <v>20.399025939048709</v>
      </c>
      <c r="J86" s="1"/>
      <c r="K86" s="32"/>
      <c r="L86" s="1">
        <f t="shared" si="9"/>
        <v>3.5004219879013226E-2</v>
      </c>
      <c r="M86" s="1">
        <f t="shared" si="10"/>
        <v>3.0981135374969427E-2</v>
      </c>
      <c r="N86" s="1">
        <f t="shared" si="11"/>
        <v>2.7203564107183775E-2</v>
      </c>
    </row>
    <row r="87" spans="1:14" x14ac:dyDescent="0.25">
      <c r="A87" s="18" t="s">
        <v>313</v>
      </c>
      <c r="B87" s="19" t="str">
        <f>LEFT(TRIM(dataset_2025_11_17T13_30_33_170025752Z_DEFAULT_INTEGRATION_IMF_RES_PCPS_9_0_0[[#This Row],[TIME_PERIOD]]),4)</f>
        <v>2018</v>
      </c>
      <c r="C87" s="7" t="s">
        <v>497</v>
      </c>
      <c r="D87">
        <v>22.345454545454501</v>
      </c>
      <c r="E87" s="7">
        <v>83</v>
      </c>
      <c r="F87" s="7"/>
      <c r="G87" s="1">
        <f t="shared" si="12"/>
        <v>20.271509738510865</v>
      </c>
      <c r="H87" s="1">
        <f t="shared" si="13"/>
        <v>20.327637982640816</v>
      </c>
      <c r="I87" s="1">
        <f t="shared" si="14"/>
        <v>20.383766226770764</v>
      </c>
      <c r="J87" s="1"/>
      <c r="K87" s="32"/>
      <c r="L87" s="1">
        <f t="shared" si="9"/>
        <v>4.3012470622484775</v>
      </c>
      <c r="M87" s="1">
        <f t="shared" si="10"/>
        <v>4.0715836811652348</v>
      </c>
      <c r="N87" s="1">
        <f t="shared" si="11"/>
        <v>3.8482210596602298</v>
      </c>
    </row>
    <row r="88" spans="1:14" x14ac:dyDescent="0.25">
      <c r="A88" s="20" t="s">
        <v>314</v>
      </c>
      <c r="B88" s="21" t="str">
        <f>LEFT(TRIM(dataset_2025_11_17T13_30_33_170025752Z_DEFAULT_INTEGRATION_IMF_RES_PCPS_9_0_0[[#This Row],[TIME_PERIOD]]),4)</f>
        <v>2018</v>
      </c>
      <c r="C88" s="7" t="s">
        <v>498</v>
      </c>
      <c r="D88">
        <v>24.6904761904762</v>
      </c>
      <c r="E88" s="7">
        <v>84</v>
      </c>
      <c r="F88" s="7"/>
      <c r="G88" s="1">
        <f t="shared" si="12"/>
        <v>21.930665584065778</v>
      </c>
      <c r="H88" s="1">
        <f t="shared" si="13"/>
        <v>21.308482141982683</v>
      </c>
      <c r="I88" s="1">
        <f t="shared" si="14"/>
        <v>20.686298699899591</v>
      </c>
      <c r="J88" s="1"/>
      <c r="K88" s="32"/>
      <c r="L88" s="1">
        <f t="shared" si="9"/>
        <v>7.6165545832554624</v>
      </c>
      <c r="M88" s="1">
        <f t="shared" si="10"/>
        <v>11.437883744045571</v>
      </c>
      <c r="N88" s="1">
        <f t="shared" si="11"/>
        <v>16.033437376040389</v>
      </c>
    </row>
    <row r="89" spans="1:14" x14ac:dyDescent="0.25">
      <c r="A89" s="18" t="s">
        <v>315</v>
      </c>
      <c r="B89" s="19" t="str">
        <f>LEFT(TRIM(dataset_2025_11_17T13_30_33_170025752Z_DEFAULT_INTEGRATION_IMF_RES_PCPS_9_0_0[[#This Row],[TIME_PERIOD]]),4)</f>
        <v>2018</v>
      </c>
      <c r="C89" s="7" t="s">
        <v>487</v>
      </c>
      <c r="D89">
        <v>23.369565217391301</v>
      </c>
      <c r="E89" s="7">
        <v>85</v>
      </c>
      <c r="F89" s="7"/>
      <c r="G89" s="1">
        <f t="shared" si="12"/>
        <v>24.138514069194116</v>
      </c>
      <c r="H89" s="1">
        <f t="shared" si="13"/>
        <v>23.310570887270991</v>
      </c>
      <c r="I89" s="1">
        <f t="shared" si="14"/>
        <v>22.482627705347863</v>
      </c>
      <c r="J89" s="1"/>
      <c r="K89" s="32"/>
      <c r="L89" s="1">
        <f t="shared" si="9"/>
        <v>0.59128233668886743</v>
      </c>
      <c r="M89" s="1">
        <f t="shared" si="10"/>
        <v>3.4803309863441121E-3</v>
      </c>
      <c r="N89" s="1">
        <f t="shared" si="11"/>
        <v>0.78665815026980446</v>
      </c>
    </row>
    <row r="90" spans="1:14" x14ac:dyDescent="0.25">
      <c r="A90" s="20" t="s">
        <v>316</v>
      </c>
      <c r="B90" s="21" t="str">
        <f>LEFT(TRIM(dataset_2025_11_17T13_30_33_170025752Z_DEFAULT_INTEGRATION_IMF_RES_PCPS_9_0_0[[#This Row],[TIME_PERIOD]]),4)</f>
        <v>2018</v>
      </c>
      <c r="C90" s="7" t="s">
        <v>488</v>
      </c>
      <c r="D90">
        <v>21.762499999999999</v>
      </c>
      <c r="E90" s="7">
        <v>86</v>
      </c>
      <c r="F90" s="7"/>
      <c r="G90" s="1">
        <f t="shared" si="12"/>
        <v>23.523354987751866</v>
      </c>
      <c r="H90" s="1">
        <f t="shared" si="13"/>
        <v>23.754039643292707</v>
      </c>
      <c r="I90" s="1">
        <f t="shared" si="14"/>
        <v>23.984724298833552</v>
      </c>
      <c r="J90" s="1"/>
      <c r="K90" s="32"/>
      <c r="L90" s="1">
        <f t="shared" si="9"/>
        <v>3.1006102878906248</v>
      </c>
      <c r="M90" s="1">
        <f t="shared" si="10"/>
        <v>3.9662301508064446</v>
      </c>
      <c r="N90" s="1">
        <f t="shared" si="11"/>
        <v>4.9382808343262736</v>
      </c>
    </row>
    <row r="91" spans="1:14" x14ac:dyDescent="0.25">
      <c r="A91" s="18" t="s">
        <v>317</v>
      </c>
      <c r="B91" s="19" t="str">
        <f>LEFT(TRIM(dataset_2025_11_17T13_30_33_170025752Z_DEFAULT_INTEGRATION_IMF_RES_PCPS_9_0_0[[#This Row],[TIME_PERIOD]]),4)</f>
        <v>2018</v>
      </c>
      <c r="C91" s="7" t="s">
        <v>489</v>
      </c>
      <c r="D91">
        <v>21.727272727272702</v>
      </c>
      <c r="E91" s="7">
        <v>87</v>
      </c>
      <c r="F91" s="7"/>
      <c r="G91" s="1">
        <f t="shared" si="12"/>
        <v>22.114670997550373</v>
      </c>
      <c r="H91" s="1">
        <f t="shared" si="13"/>
        <v>22.642927493875931</v>
      </c>
      <c r="I91" s="1">
        <f t="shared" si="14"/>
        <v>23.171183990201492</v>
      </c>
      <c r="J91" s="1"/>
      <c r="K91" s="32"/>
      <c r="L91" s="1">
        <f t="shared" si="9"/>
        <v>0.15007741981413181</v>
      </c>
      <c r="M91" s="1">
        <f t="shared" si="10"/>
        <v>0.83842365160321353</v>
      </c>
      <c r="N91" s="1">
        <f t="shared" si="11"/>
        <v>2.0848797352126129</v>
      </c>
    </row>
    <row r="92" spans="1:14" x14ac:dyDescent="0.25">
      <c r="A92" s="20" t="s">
        <v>318</v>
      </c>
      <c r="B92" s="21" t="str">
        <f>LEFT(TRIM(dataset_2025_11_17T13_30_33_170025752Z_DEFAULT_INTEGRATION_IMF_RES_PCPS_9_0_0[[#This Row],[TIME_PERIOD]]),4)</f>
        <v>2018</v>
      </c>
      <c r="C92" s="7" t="s">
        <v>490</v>
      </c>
      <c r="D92">
        <v>20.845238095238098</v>
      </c>
      <c r="E92" s="7">
        <v>88</v>
      </c>
      <c r="F92" s="7"/>
      <c r="G92" s="1">
        <f t="shared" si="12"/>
        <v>21.804752381328235</v>
      </c>
      <c r="H92" s="1">
        <f t="shared" si="13"/>
        <v>21.920971862411538</v>
      </c>
      <c r="I92" s="1">
        <f t="shared" si="14"/>
        <v>22.03719134349484</v>
      </c>
      <c r="J92" s="1"/>
      <c r="K92" s="32"/>
      <c r="L92" s="1">
        <f t="shared" si="9"/>
        <v>0.92066766521106502</v>
      </c>
      <c r="M92" s="1">
        <f t="shared" si="10"/>
        <v>1.1572031378371588</v>
      </c>
      <c r="N92" s="1">
        <f t="shared" si="11"/>
        <v>1.4207525460297965</v>
      </c>
    </row>
    <row r="93" spans="1:14" x14ac:dyDescent="0.25">
      <c r="A93" s="18" t="s">
        <v>319</v>
      </c>
      <c r="B93" s="19" t="str">
        <f>LEFT(TRIM(dataset_2025_11_17T13_30_33_170025752Z_DEFAULT_INTEGRATION_IMF_RES_PCPS_9_0_0[[#This Row],[TIME_PERIOD]]),4)</f>
        <v>2018</v>
      </c>
      <c r="C93" s="7" t="s">
        <v>491</v>
      </c>
      <c r="D93">
        <v>21.978260869565201</v>
      </c>
      <c r="E93" s="7">
        <v>89</v>
      </c>
      <c r="F93" s="7"/>
      <c r="G93" s="1">
        <f t="shared" si="12"/>
        <v>21.037140952456127</v>
      </c>
      <c r="H93" s="1">
        <f t="shared" si="13"/>
        <v>21.324995238283165</v>
      </c>
      <c r="I93" s="1">
        <f t="shared" si="14"/>
        <v>21.612849524110207</v>
      </c>
      <c r="J93" s="1"/>
      <c r="K93" s="32"/>
      <c r="L93" s="1">
        <f t="shared" si="9"/>
        <v>0.88570669837938953</v>
      </c>
      <c r="M93" s="1">
        <f t="shared" si="10"/>
        <v>0.42675598501431666</v>
      </c>
      <c r="N93" s="1">
        <f t="shared" si="11"/>
        <v>0.13352545138722921</v>
      </c>
    </row>
    <row r="94" spans="1:14" x14ac:dyDescent="0.25">
      <c r="A94" s="20" t="s">
        <v>320</v>
      </c>
      <c r="B94" s="21" t="str">
        <f>LEFT(TRIM(dataset_2025_11_17T13_30_33_170025752Z_DEFAULT_INTEGRATION_IMF_RES_PCPS_9_0_0[[#This Row],[TIME_PERIOD]]),4)</f>
        <v>2018</v>
      </c>
      <c r="C94" s="7" t="s">
        <v>492</v>
      </c>
      <c r="D94">
        <v>23.071428571428601</v>
      </c>
      <c r="E94" s="7">
        <v>90</v>
      </c>
      <c r="F94" s="7"/>
      <c r="G94" s="1">
        <f t="shared" si="12"/>
        <v>21.790036886143387</v>
      </c>
      <c r="H94" s="1">
        <f t="shared" si="13"/>
        <v>21.507700911010666</v>
      </c>
      <c r="I94" s="1">
        <f t="shared" si="14"/>
        <v>21.225364935877941</v>
      </c>
      <c r="J94" s="1"/>
      <c r="K94" s="32"/>
      <c r="L94" s="1">
        <f t="shared" si="9"/>
        <v>1.6419646511180823</v>
      </c>
      <c r="M94" s="1">
        <f t="shared" si="10"/>
        <v>2.4452441959561502</v>
      </c>
      <c r="N94" s="1">
        <f t="shared" si="11"/>
        <v>3.4079509465025204</v>
      </c>
    </row>
    <row r="95" spans="1:14" x14ac:dyDescent="0.25">
      <c r="A95" s="18" t="s">
        <v>321</v>
      </c>
      <c r="B95" s="19" t="str">
        <f>LEFT(TRIM(dataset_2025_11_17T13_30_33_170025752Z_DEFAULT_INTEGRATION_IMF_RES_PCPS_9_0_0[[#This Row],[TIME_PERIOD]]),4)</f>
        <v>2018</v>
      </c>
      <c r="C95" s="7" t="s">
        <v>493</v>
      </c>
      <c r="D95">
        <v>23.4159090909091</v>
      </c>
      <c r="E95" s="7">
        <v>91</v>
      </c>
      <c r="F95" s="7"/>
      <c r="G95" s="1">
        <f t="shared" si="12"/>
        <v>22.815150234371558</v>
      </c>
      <c r="H95" s="1">
        <f t="shared" si="13"/>
        <v>22.430732728785994</v>
      </c>
      <c r="I95" s="1">
        <f t="shared" si="14"/>
        <v>22.04631522320043</v>
      </c>
      <c r="J95" s="1"/>
      <c r="K95" s="32"/>
      <c r="L95" s="1">
        <f t="shared" si="9"/>
        <v>0.3609112037082951</v>
      </c>
      <c r="M95" s="1">
        <f t="shared" si="10"/>
        <v>0.97057246448611689</v>
      </c>
      <c r="N95" s="1">
        <f t="shared" si="11"/>
        <v>1.8757873624651922</v>
      </c>
    </row>
    <row r="96" spans="1:14" x14ac:dyDescent="0.25">
      <c r="A96" s="20" t="s">
        <v>322</v>
      </c>
      <c r="B96" s="21" t="str">
        <f>LEFT(TRIM(dataset_2025_11_17T13_30_33_170025752Z_DEFAULT_INTEGRATION_IMF_RES_PCPS_9_0_0[[#This Row],[TIME_PERIOD]]),4)</f>
        <v>2018</v>
      </c>
      <c r="C96" s="7" t="s">
        <v>494</v>
      </c>
      <c r="D96">
        <v>26.047826086956501</v>
      </c>
      <c r="E96" s="7">
        <v>92</v>
      </c>
      <c r="F96" s="7"/>
      <c r="G96" s="1">
        <f t="shared" si="12"/>
        <v>23.295757319601591</v>
      </c>
      <c r="H96" s="1">
        <f t="shared" si="13"/>
        <v>23.115529662640327</v>
      </c>
      <c r="I96" s="1">
        <f t="shared" si="14"/>
        <v>22.935302005679066</v>
      </c>
      <c r="J96" s="1"/>
      <c r="K96" s="32"/>
      <c r="L96" s="1">
        <f t="shared" si="9"/>
        <v>7.5738825002503729</v>
      </c>
      <c r="M96" s="1">
        <f t="shared" si="10"/>
        <v>8.5983623200574204</v>
      </c>
      <c r="N96" s="1">
        <f t="shared" si="11"/>
        <v>9.6878061565319413</v>
      </c>
    </row>
    <row r="97" spans="1:14" x14ac:dyDescent="0.25">
      <c r="A97" s="18" t="s">
        <v>323</v>
      </c>
      <c r="B97" s="19" t="str">
        <f>LEFT(TRIM(dataset_2025_11_17T13_30_33_170025752Z_DEFAULT_INTEGRATION_IMF_RES_PCPS_9_0_0[[#This Row],[TIME_PERIOD]]),4)</f>
        <v>2018</v>
      </c>
      <c r="C97" s="7" t="s">
        <v>495</v>
      </c>
      <c r="D97">
        <v>27.107500000000002</v>
      </c>
      <c r="E97" s="7">
        <v>93</v>
      </c>
      <c r="F97" s="7"/>
      <c r="G97" s="1">
        <f t="shared" si="12"/>
        <v>25.497412333485521</v>
      </c>
      <c r="H97" s="1">
        <f t="shared" si="13"/>
        <v>24.671791703279048</v>
      </c>
      <c r="I97" s="1">
        <f t="shared" si="14"/>
        <v>23.846171073072576</v>
      </c>
      <c r="J97" s="1"/>
      <c r="K97" s="32"/>
      <c r="L97" s="1">
        <f t="shared" si="9"/>
        <v>2.5923822938620464</v>
      </c>
      <c r="M97" s="1">
        <f t="shared" si="10"/>
        <v>5.9326749067152891</v>
      </c>
      <c r="N97" s="1">
        <f t="shared" si="11"/>
        <v>10.636266369613598</v>
      </c>
    </row>
    <row r="98" spans="1:14" x14ac:dyDescent="0.25">
      <c r="A98" s="20" t="s">
        <v>324</v>
      </c>
      <c r="B98" s="21" t="str">
        <f>LEFT(TRIM(dataset_2025_11_17T13_30_33_170025752Z_DEFAULT_INTEGRATION_IMF_RES_PCPS_9_0_0[[#This Row],[TIME_PERIOD]]),4)</f>
        <v>2019</v>
      </c>
      <c r="C98" s="7" t="s">
        <v>496</v>
      </c>
      <c r="D98">
        <v>27.508695652173898</v>
      </c>
      <c r="E98" s="7">
        <v>94</v>
      </c>
      <c r="F98" s="7"/>
      <c r="G98" s="1">
        <f t="shared" si="12"/>
        <v>26.785482466697108</v>
      </c>
      <c r="H98" s="1">
        <f t="shared" si="13"/>
        <v>26.302456166742761</v>
      </c>
      <c r="I98" s="1">
        <f t="shared" si="14"/>
        <v>25.819429866788415</v>
      </c>
      <c r="J98" s="1"/>
      <c r="K98" s="32"/>
      <c r="L98" s="1">
        <f t="shared" si="9"/>
        <v>0.5230373116474869</v>
      </c>
      <c r="M98" s="1">
        <f t="shared" si="10"/>
        <v>1.4550136962131746</v>
      </c>
      <c r="N98" s="1">
        <f t="shared" si="11"/>
        <v>2.8536188936740348</v>
      </c>
    </row>
    <row r="99" spans="1:14" x14ac:dyDescent="0.25">
      <c r="A99" s="18" t="s">
        <v>325</v>
      </c>
      <c r="B99" s="19" t="str">
        <f>LEFT(TRIM(dataset_2025_11_17T13_30_33_170025752Z_DEFAULT_INTEGRATION_IMF_RES_PCPS_9_0_0[[#This Row],[TIME_PERIOD]]),4)</f>
        <v>2019</v>
      </c>
      <c r="C99" s="7" t="s">
        <v>497</v>
      </c>
      <c r="D99">
        <v>28.934090909090902</v>
      </c>
      <c r="E99" s="7">
        <v>95</v>
      </c>
      <c r="F99" s="7"/>
      <c r="G99" s="1">
        <f t="shared" si="12"/>
        <v>27.364053015078543</v>
      </c>
      <c r="H99" s="1">
        <f t="shared" si="13"/>
        <v>27.147089059435501</v>
      </c>
      <c r="I99" s="1">
        <f t="shared" si="14"/>
        <v>26.930125103792466</v>
      </c>
      <c r="J99" s="1"/>
      <c r="K99" s="32"/>
      <c r="L99" s="1">
        <f t="shared" si="9"/>
        <v>2.4650189886347618</v>
      </c>
      <c r="M99" s="1">
        <f t="shared" si="10"/>
        <v>3.1933756106718221</v>
      </c>
      <c r="N99" s="1">
        <f t="shared" si="11"/>
        <v>4.0158789488054056</v>
      </c>
    </row>
    <row r="100" spans="1:14" x14ac:dyDescent="0.25">
      <c r="A100" s="20" t="s">
        <v>326</v>
      </c>
      <c r="B100" s="21" t="str">
        <f>LEFT(TRIM(dataset_2025_11_17T13_30_33_170025752Z_DEFAULT_INTEGRATION_IMF_RES_PCPS_9_0_0[[#This Row],[TIME_PERIOD]]),4)</f>
        <v>2019</v>
      </c>
      <c r="C100" s="7" t="s">
        <v>498</v>
      </c>
      <c r="D100">
        <v>28.761904761904798</v>
      </c>
      <c r="E100" s="7">
        <v>96</v>
      </c>
      <c r="F100" s="7"/>
      <c r="G100" s="1">
        <f t="shared" si="12"/>
        <v>28.620083330288431</v>
      </c>
      <c r="H100" s="1">
        <f t="shared" si="13"/>
        <v>28.149071962084722</v>
      </c>
      <c r="I100" s="1">
        <f t="shared" si="14"/>
        <v>27.678060593881018</v>
      </c>
      <c r="J100" s="1"/>
      <c r="K100" s="32"/>
      <c r="L100" s="1">
        <f t="shared" si="9"/>
        <v>2.0113318465716068E-2</v>
      </c>
      <c r="M100" s="1">
        <f t="shared" si="10"/>
        <v>0.37556404053531334</v>
      </c>
      <c r="N100" s="1">
        <f t="shared" si="11"/>
        <v>1.1747181805591613</v>
      </c>
    </row>
    <row r="101" spans="1:14" x14ac:dyDescent="0.25">
      <c r="A101" s="18" t="s">
        <v>327</v>
      </c>
      <c r="B101" s="19" t="str">
        <f>LEFT(TRIM(dataset_2025_11_17T13_30_33_170025752Z_DEFAULT_INTEGRATION_IMF_RES_PCPS_9_0_0[[#This Row],[TIME_PERIOD]]),4)</f>
        <v>2019</v>
      </c>
      <c r="C101" s="7" t="s">
        <v>487</v>
      </c>
      <c r="D101">
        <v>28.710869565217401</v>
      </c>
      <c r="E101" s="7">
        <v>97</v>
      </c>
      <c r="F101" s="7"/>
      <c r="G101" s="1">
        <f t="shared" si="12"/>
        <v>28.733540475581528</v>
      </c>
      <c r="H101" s="1">
        <f t="shared" si="13"/>
        <v>28.690994046096613</v>
      </c>
      <c r="I101" s="1">
        <f t="shared" si="14"/>
        <v>28.648447616611705</v>
      </c>
      <c r="J101" s="1"/>
      <c r="K101" s="32"/>
      <c r="L101" s="1">
        <f t="shared" si="9"/>
        <v>5.139701767382783E-4</v>
      </c>
      <c r="M101" s="1">
        <f t="shared" si="10"/>
        <v>3.9503626032080937E-4</v>
      </c>
      <c r="N101" s="1">
        <f t="shared" si="11"/>
        <v>3.8964996677321316E-3</v>
      </c>
    </row>
    <row r="102" spans="1:14" x14ac:dyDescent="0.25">
      <c r="A102" s="20" t="s">
        <v>328</v>
      </c>
      <c r="B102" s="21" t="str">
        <f>LEFT(TRIM(dataset_2025_11_17T13_30_33_170025752Z_DEFAULT_INTEGRATION_IMF_RES_PCPS_9_0_0[[#This Row],[TIME_PERIOD]]),4)</f>
        <v>2019</v>
      </c>
      <c r="C102" s="7" t="s">
        <v>488</v>
      </c>
      <c r="D102">
        <v>28.645</v>
      </c>
      <c r="E102" s="7">
        <v>98</v>
      </c>
      <c r="F102" s="7"/>
      <c r="G102" s="1">
        <f t="shared" si="12"/>
        <v>28.715403747290225</v>
      </c>
      <c r="H102" s="1">
        <f t="shared" si="13"/>
        <v>28.722205020399464</v>
      </c>
      <c r="I102" s="1">
        <f t="shared" si="14"/>
        <v>28.729006293508704</v>
      </c>
      <c r="J102" s="1"/>
      <c r="K102" s="32"/>
      <c r="L102" s="1">
        <f t="shared" ref="L102:L133" si="15">(G102-$D102)^2</f>
        <v>4.9566876325058675E-3</v>
      </c>
      <c r="M102" s="1">
        <f t="shared" ref="M102:M133" si="16">(H102-$D102)^2</f>
        <v>5.9606151748817339E-3</v>
      </c>
      <c r="N102" s="1">
        <f t="shared" ref="N102:N133" si="17">(I102-$D102)^2</f>
        <v>7.0570573490705297E-3</v>
      </c>
    </row>
    <row r="103" spans="1:14" x14ac:dyDescent="0.25">
      <c r="A103" s="18" t="s">
        <v>329</v>
      </c>
      <c r="B103" s="19" t="str">
        <f>LEFT(TRIM(dataset_2025_11_17T13_30_33_170025752Z_DEFAULT_INTEGRATION_IMF_RES_PCPS_9_0_0[[#This Row],[TIME_PERIOD]]),4)</f>
        <v>2019</v>
      </c>
      <c r="C103" s="7" t="s">
        <v>489</v>
      </c>
      <c r="D103">
        <v>27.202380952380999</v>
      </c>
      <c r="E103" s="7">
        <v>99</v>
      </c>
      <c r="F103" s="7"/>
      <c r="G103" s="1">
        <f t="shared" si="12"/>
        <v>28.659080749458045</v>
      </c>
      <c r="H103" s="1">
        <f t="shared" si="13"/>
        <v>28.68020187364511</v>
      </c>
      <c r="I103" s="1">
        <f t="shared" si="14"/>
        <v>28.701322997832179</v>
      </c>
      <c r="J103" s="1"/>
      <c r="K103" s="32"/>
      <c r="L103" s="1">
        <f t="shared" si="15"/>
        <v>2.1219742988043087</v>
      </c>
      <c r="M103" s="1">
        <f t="shared" si="16"/>
        <v>2.1839546753259076</v>
      </c>
      <c r="N103" s="1">
        <f t="shared" si="17"/>
        <v>2.2468272556213678</v>
      </c>
    </row>
    <row r="104" spans="1:14" x14ac:dyDescent="0.25">
      <c r="A104" s="20" t="s">
        <v>330</v>
      </c>
      <c r="B104" s="21" t="str">
        <f>LEFT(TRIM(dataset_2025_11_17T13_30_33_170025752Z_DEFAULT_INTEGRATION_IMF_RES_PCPS_9_0_0[[#This Row],[TIME_PERIOD]]),4)</f>
        <v>2019</v>
      </c>
      <c r="C104" s="7" t="s">
        <v>490</v>
      </c>
      <c r="D104">
        <v>25.704545454545499</v>
      </c>
      <c r="E104" s="7">
        <v>100</v>
      </c>
      <c r="F104" s="7"/>
      <c r="G104" s="1">
        <f t="shared" si="12"/>
        <v>27.493720911796412</v>
      </c>
      <c r="H104" s="1">
        <f t="shared" si="13"/>
        <v>27.930730850919524</v>
      </c>
      <c r="I104" s="1">
        <f t="shared" si="14"/>
        <v>28.367740790042639</v>
      </c>
      <c r="J104" s="1"/>
      <c r="K104" s="32"/>
      <c r="L104" s="1">
        <f t="shared" si="15"/>
        <v>3.2011488168290132</v>
      </c>
      <c r="M104" s="1">
        <f t="shared" si="16"/>
        <v>4.9559014190289723</v>
      </c>
      <c r="N104" s="1">
        <f t="shared" si="17"/>
        <v>7.0926093950137208</v>
      </c>
    </row>
    <row r="105" spans="1:14" x14ac:dyDescent="0.25">
      <c r="A105" s="18" t="s">
        <v>331</v>
      </c>
      <c r="B105" s="19" t="str">
        <f>LEFT(TRIM(dataset_2025_11_17T13_30_33_170025752Z_DEFAULT_INTEGRATION_IMF_RES_PCPS_9_0_0[[#This Row],[TIME_PERIOD]]),4)</f>
        <v>2019</v>
      </c>
      <c r="C105" s="7" t="s">
        <v>491</v>
      </c>
      <c r="D105">
        <v>24.684782608695599</v>
      </c>
      <c r="E105" s="7">
        <v>101</v>
      </c>
      <c r="F105" s="7"/>
      <c r="G105" s="1">
        <f t="shared" si="12"/>
        <v>26.062380545995683</v>
      </c>
      <c r="H105" s="1">
        <f t="shared" si="13"/>
        <v>26.599133183170956</v>
      </c>
      <c r="I105" s="1">
        <f t="shared" si="14"/>
        <v>27.135885820346228</v>
      </c>
      <c r="J105" s="1"/>
      <c r="K105" s="32"/>
      <c r="L105" s="1">
        <f t="shared" si="15"/>
        <v>1.8977760768534473</v>
      </c>
      <c r="M105" s="1">
        <f t="shared" si="16"/>
        <v>3.6647381219941288</v>
      </c>
      <c r="N105" s="1">
        <f t="shared" si="17"/>
        <v>6.0079069541640298</v>
      </c>
    </row>
    <row r="106" spans="1:14" x14ac:dyDescent="0.25">
      <c r="A106" s="20" t="s">
        <v>332</v>
      </c>
      <c r="B106" s="21" t="str">
        <f>LEFT(TRIM(dataset_2025_11_17T13_30_33_170025752Z_DEFAULT_INTEGRATION_IMF_RES_PCPS_9_0_0[[#This Row],[TIME_PERIOD]]),4)</f>
        <v>2019</v>
      </c>
      <c r="C106" s="7" t="s">
        <v>492</v>
      </c>
      <c r="D106">
        <v>24.475000000000001</v>
      </c>
      <c r="E106" s="7">
        <v>102</v>
      </c>
      <c r="F106" s="7"/>
      <c r="G106" s="1">
        <f t="shared" si="12"/>
        <v>24.960302196155617</v>
      </c>
      <c r="H106" s="1">
        <f t="shared" si="13"/>
        <v>25.373581577345639</v>
      </c>
      <c r="I106" s="1">
        <f t="shared" si="14"/>
        <v>25.786860958535669</v>
      </c>
      <c r="J106" s="1"/>
      <c r="K106" s="32"/>
      <c r="L106" s="1">
        <f t="shared" si="15"/>
        <v>0.23551822159346322</v>
      </c>
      <c r="M106" s="1">
        <f t="shared" si="16"/>
        <v>0.80744885114497489</v>
      </c>
      <c r="N106" s="1">
        <f t="shared" si="17"/>
        <v>1.7209791745301215</v>
      </c>
    </row>
    <row r="107" spans="1:14" x14ac:dyDescent="0.25">
      <c r="A107" s="18" t="s">
        <v>333</v>
      </c>
      <c r="B107" s="19" t="str">
        <f>LEFT(TRIM(dataset_2025_11_17T13_30_33_170025752Z_DEFAULT_INTEGRATION_IMF_RES_PCPS_9_0_0[[#This Row],[TIME_PERIOD]]),4)</f>
        <v>2019</v>
      </c>
      <c r="C107" s="7" t="s">
        <v>493</v>
      </c>
      <c r="D107">
        <v>25.228260869565201</v>
      </c>
      <c r="E107" s="7">
        <v>103</v>
      </c>
      <c r="F107" s="7"/>
      <c r="G107" s="1">
        <f t="shared" si="12"/>
        <v>24.572060439231127</v>
      </c>
      <c r="H107" s="1">
        <f t="shared" si="13"/>
        <v>24.717651098077809</v>
      </c>
      <c r="I107" s="1">
        <f t="shared" si="14"/>
        <v>24.863241756924495</v>
      </c>
      <c r="J107" s="1"/>
      <c r="K107" s="32"/>
      <c r="L107" s="1">
        <f t="shared" si="15"/>
        <v>0.43059900477062424</v>
      </c>
      <c r="M107" s="1">
        <f t="shared" si="16"/>
        <v>0.2607223387384065</v>
      </c>
      <c r="N107" s="1">
        <f t="shared" si="17"/>
        <v>0.1332389525930083</v>
      </c>
    </row>
    <row r="108" spans="1:14" x14ac:dyDescent="0.25">
      <c r="A108" s="20" t="s">
        <v>334</v>
      </c>
      <c r="B108" s="21" t="str">
        <f>LEFT(TRIM(dataset_2025_11_17T13_30_33_170025752Z_DEFAULT_INTEGRATION_IMF_RES_PCPS_9_0_0[[#This Row],[TIME_PERIOD]]),4)</f>
        <v>2019</v>
      </c>
      <c r="C108" s="7" t="s">
        <v>494</v>
      </c>
      <c r="D108">
        <v>25.284090909090899</v>
      </c>
      <c r="E108" s="7">
        <v>104</v>
      </c>
      <c r="F108" s="7"/>
      <c r="G108" s="1">
        <f t="shared" si="12"/>
        <v>25.09702078349839</v>
      </c>
      <c r="H108" s="1">
        <f t="shared" si="13"/>
        <v>24.900160654398164</v>
      </c>
      <c r="I108" s="1">
        <f t="shared" si="14"/>
        <v>24.703300525297941</v>
      </c>
      <c r="J108" s="1"/>
      <c r="K108" s="32"/>
      <c r="L108" s="1">
        <f t="shared" si="15"/>
        <v>3.4995231889197141E-2</v>
      </c>
      <c r="M108" s="1">
        <f t="shared" si="16"/>
        <v>0.14740244046842887</v>
      </c>
      <c r="N108" s="1">
        <f t="shared" si="17"/>
        <v>0.33731746990637224</v>
      </c>
    </row>
    <row r="109" spans="1:14" x14ac:dyDescent="0.25">
      <c r="A109" s="18" t="s">
        <v>335</v>
      </c>
      <c r="B109" s="19" t="str">
        <f>LEFT(TRIM(dataset_2025_11_17T13_30_33_170025752Z_DEFAULT_INTEGRATION_IMF_RES_PCPS_9_0_0[[#This Row],[TIME_PERIOD]]),4)</f>
        <v>2019</v>
      </c>
      <c r="C109" s="7" t="s">
        <v>495</v>
      </c>
      <c r="D109">
        <v>25.4119047619048</v>
      </c>
      <c r="E109" s="7">
        <v>105</v>
      </c>
      <c r="F109" s="7"/>
      <c r="G109" s="1">
        <f t="shared" si="12"/>
        <v>25.246676883972398</v>
      </c>
      <c r="H109" s="1">
        <f t="shared" si="13"/>
        <v>25.190555846294643</v>
      </c>
      <c r="I109" s="1">
        <f t="shared" si="14"/>
        <v>25.134434808616895</v>
      </c>
      <c r="J109" s="1"/>
      <c r="K109" s="32"/>
      <c r="L109" s="1">
        <f t="shared" si="15"/>
        <v>2.7300251646044778E-2</v>
      </c>
      <c r="M109" s="1">
        <f t="shared" si="16"/>
        <v>4.8995342441792558E-2</v>
      </c>
      <c r="N109" s="1">
        <f t="shared" si="17"/>
        <v>7.6989574977592443E-2</v>
      </c>
    </row>
    <row r="110" spans="1:14" x14ac:dyDescent="0.25">
      <c r="A110" s="20" t="s">
        <v>336</v>
      </c>
      <c r="B110" s="21" t="str">
        <f>LEFT(TRIM(dataset_2025_11_17T13_30_33_170025752Z_DEFAULT_INTEGRATION_IMF_RES_PCPS_9_0_0[[#This Row],[TIME_PERIOD]]),4)</f>
        <v>2020</v>
      </c>
      <c r="C110" s="7" t="s">
        <v>496</v>
      </c>
      <c r="D110">
        <v>24.917391304347799</v>
      </c>
      <c r="E110" s="7">
        <v>106</v>
      </c>
      <c r="F110" s="7"/>
      <c r="G110" s="1">
        <f t="shared" si="12"/>
        <v>25.378859186318323</v>
      </c>
      <c r="H110" s="1">
        <f t="shared" si="13"/>
        <v>25.329290822938599</v>
      </c>
      <c r="I110" s="1">
        <f t="shared" si="14"/>
        <v>25.279722459558879</v>
      </c>
      <c r="J110" s="1"/>
      <c r="K110" s="32"/>
      <c r="L110" s="1">
        <f t="shared" si="15"/>
        <v>0.21295260609036148</v>
      </c>
      <c r="M110" s="1">
        <f t="shared" si="16"/>
        <v>0.16966121341533325</v>
      </c>
      <c r="N110" s="1">
        <f t="shared" si="17"/>
        <v>0.1312838660365962</v>
      </c>
    </row>
    <row r="111" spans="1:14" x14ac:dyDescent="0.25">
      <c r="A111" s="18" t="s">
        <v>337</v>
      </c>
      <c r="B111" s="19" t="str">
        <f>LEFT(TRIM(dataset_2025_11_17T13_30_33_170025752Z_DEFAULT_INTEGRATION_IMF_RES_PCPS_9_0_0[[#This Row],[TIME_PERIOD]]),4)</f>
        <v>2020</v>
      </c>
      <c r="C111" s="7" t="s">
        <v>497</v>
      </c>
      <c r="D111">
        <v>24.988095238095202</v>
      </c>
      <c r="E111" s="7">
        <v>107</v>
      </c>
      <c r="F111" s="7"/>
      <c r="G111" s="1">
        <f t="shared" si="12"/>
        <v>25.009684880741908</v>
      </c>
      <c r="H111" s="1">
        <f t="shared" si="13"/>
        <v>25.148125245333063</v>
      </c>
      <c r="I111" s="1">
        <f t="shared" si="14"/>
        <v>25.286565609924217</v>
      </c>
      <c r="J111" s="1"/>
      <c r="K111" s="32"/>
      <c r="L111" s="1">
        <f t="shared" si="15"/>
        <v>4.6611266961247308E-4</v>
      </c>
      <c r="M111" s="1">
        <f t="shared" si="16"/>
        <v>2.5609603216549804E-2</v>
      </c>
      <c r="N111" s="1">
        <f t="shared" si="17"/>
        <v>8.9084562859750818E-2</v>
      </c>
    </row>
    <row r="112" spans="1:14" x14ac:dyDescent="0.25">
      <c r="A112" s="20" t="s">
        <v>338</v>
      </c>
      <c r="B112" s="21" t="str">
        <f>LEFT(TRIM(dataset_2025_11_17T13_30_33_170025752Z_DEFAULT_INTEGRATION_IMF_RES_PCPS_9_0_0[[#This Row],[TIME_PERIOD]]),4)</f>
        <v>2020</v>
      </c>
      <c r="C112" s="7" t="s">
        <v>498</v>
      </c>
      <c r="D112">
        <v>25.625</v>
      </c>
      <c r="E112" s="7">
        <v>108</v>
      </c>
      <c r="F112" s="7"/>
      <c r="G112" s="1">
        <f t="shared" si="12"/>
        <v>24.992413166624544</v>
      </c>
      <c r="H112" s="1">
        <f t="shared" si="13"/>
        <v>24.998890059418557</v>
      </c>
      <c r="I112" s="1">
        <f t="shared" si="14"/>
        <v>25.005366952212569</v>
      </c>
      <c r="J112" s="1"/>
      <c r="K112" s="32"/>
      <c r="L112" s="1">
        <f t="shared" si="15"/>
        <v>0.40016610175998646</v>
      </c>
      <c r="M112" s="1">
        <f t="shared" si="16"/>
        <v>0.3920136576948986</v>
      </c>
      <c r="N112" s="1">
        <f t="shared" si="17"/>
        <v>0.38394511391034103</v>
      </c>
    </row>
    <row r="113" spans="1:14" x14ac:dyDescent="0.25">
      <c r="A113" s="18" t="s">
        <v>339</v>
      </c>
      <c r="B113" s="19" t="str">
        <f>LEFT(TRIM(dataset_2025_11_17T13_30_33_170025752Z_DEFAULT_INTEGRATION_IMF_RES_PCPS_9_0_0[[#This Row],[TIME_PERIOD]]),4)</f>
        <v>2020</v>
      </c>
      <c r="C113" s="7" t="s">
        <v>487</v>
      </c>
      <c r="D113">
        <v>24.6413043478261</v>
      </c>
      <c r="E113" s="7">
        <v>109</v>
      </c>
      <c r="F113" s="7"/>
      <c r="G113" s="1">
        <f t="shared" si="12"/>
        <v>25.498482633324908</v>
      </c>
      <c r="H113" s="1">
        <f t="shared" si="13"/>
        <v>25.308706583312272</v>
      </c>
      <c r="I113" s="1">
        <f t="shared" si="14"/>
        <v>25.118930533299636</v>
      </c>
      <c r="J113" s="1"/>
      <c r="K113" s="32"/>
      <c r="L113" s="1">
        <f t="shared" si="15"/>
        <v>0.73475461313067592</v>
      </c>
      <c r="M113" s="1">
        <f t="shared" si="16"/>
        <v>0.44542574393193973</v>
      </c>
      <c r="N113" s="1">
        <f t="shared" si="17"/>
        <v>0.22812677305000059</v>
      </c>
    </row>
    <row r="114" spans="1:14" x14ac:dyDescent="0.25">
      <c r="A114" s="20" t="s">
        <v>340</v>
      </c>
      <c r="B114" s="21" t="str">
        <f>LEFT(TRIM(dataset_2025_11_17T13_30_33_170025752Z_DEFAULT_INTEGRATION_IMF_RES_PCPS_9_0_0[[#This Row],[TIME_PERIOD]]),4)</f>
        <v>2020</v>
      </c>
      <c r="C114" s="7" t="s">
        <v>488</v>
      </c>
      <c r="D114">
        <v>24.6875</v>
      </c>
      <c r="E114" s="7">
        <v>110</v>
      </c>
      <c r="F114" s="7"/>
      <c r="G114" s="1">
        <f t="shared" si="12"/>
        <v>24.812740004925864</v>
      </c>
      <c r="H114" s="1">
        <f t="shared" si="13"/>
        <v>25.069893490575502</v>
      </c>
      <c r="I114" s="1">
        <f t="shared" si="14"/>
        <v>25.327046976225144</v>
      </c>
      <c r="J114" s="1"/>
      <c r="K114" s="32"/>
      <c r="L114" s="1">
        <f t="shared" si="15"/>
        <v>1.5685058833830427E-2</v>
      </c>
      <c r="M114" s="1">
        <f t="shared" si="16"/>
        <v>0.14622478163451685</v>
      </c>
      <c r="N114" s="1">
        <f t="shared" si="17"/>
        <v>0.40902033479872546</v>
      </c>
    </row>
    <row r="115" spans="1:14" x14ac:dyDescent="0.25">
      <c r="A115" s="18" t="s">
        <v>341</v>
      </c>
      <c r="B115" s="19" t="str">
        <f>LEFT(TRIM(dataset_2025_11_17T13_30_33_170025752Z_DEFAULT_INTEGRATION_IMF_RES_PCPS_9_0_0[[#This Row],[TIME_PERIOD]]),4)</f>
        <v>2020</v>
      </c>
      <c r="C115" s="7" t="s">
        <v>489</v>
      </c>
      <c r="D115">
        <v>24.6613636363636</v>
      </c>
      <c r="E115" s="7">
        <v>111</v>
      </c>
      <c r="F115" s="7"/>
      <c r="G115" s="1">
        <f t="shared" si="12"/>
        <v>24.712548000985173</v>
      </c>
      <c r="H115" s="1">
        <f t="shared" si="13"/>
        <v>24.750120002462932</v>
      </c>
      <c r="I115" s="1">
        <f t="shared" si="14"/>
        <v>24.787692003940691</v>
      </c>
      <c r="J115" s="1"/>
      <c r="K115" s="32"/>
      <c r="L115" s="1">
        <f t="shared" si="15"/>
        <v>2.6198391817141391E-3</v>
      </c>
      <c r="M115" s="1">
        <f t="shared" si="16"/>
        <v>7.8776925231586938E-3</v>
      </c>
      <c r="N115" s="1">
        <f t="shared" si="17"/>
        <v>1.5958856454692725E-2</v>
      </c>
    </row>
    <row r="116" spans="1:14" x14ac:dyDescent="0.25">
      <c r="A116" s="20" t="s">
        <v>342</v>
      </c>
      <c r="B116" s="21" t="str">
        <f>LEFT(TRIM(dataset_2025_11_17T13_30_33_170025752Z_DEFAULT_INTEGRATION_IMF_RES_PCPS_9_0_0[[#This Row],[TIME_PERIOD]]),4)</f>
        <v>2020</v>
      </c>
      <c r="C116" s="7" t="s">
        <v>490</v>
      </c>
      <c r="D116">
        <v>29.9636363636364</v>
      </c>
      <c r="E116" s="7">
        <v>112</v>
      </c>
      <c r="F116" s="7"/>
      <c r="G116" s="1">
        <f t="shared" si="12"/>
        <v>24.671600509287916</v>
      </c>
      <c r="H116" s="1">
        <f t="shared" si="13"/>
        <v>24.686955818674384</v>
      </c>
      <c r="I116" s="1">
        <f t="shared" si="14"/>
        <v>24.702311128060856</v>
      </c>
      <c r="J116" s="1"/>
      <c r="K116" s="32"/>
      <c r="L116" s="1">
        <f t="shared" si="15"/>
        <v>28.005643483709886</v>
      </c>
      <c r="M116" s="1">
        <f t="shared" si="16"/>
        <v>27.843357573580636</v>
      </c>
      <c r="N116" s="1">
        <f t="shared" si="17"/>
        <v>27.681543234504055</v>
      </c>
    </row>
    <row r="117" spans="1:14" x14ac:dyDescent="0.25">
      <c r="A117" s="18" t="s">
        <v>343</v>
      </c>
      <c r="B117" s="19" t="str">
        <f>LEFT(TRIM(dataset_2025_11_17T13_30_33_170025752Z_DEFAULT_INTEGRATION_IMF_RES_PCPS_9_0_0[[#This Row],[TIME_PERIOD]]),4)</f>
        <v>2020</v>
      </c>
      <c r="C117" s="7" t="s">
        <v>491</v>
      </c>
      <c r="D117">
        <v>33.511904761904802</v>
      </c>
      <c r="E117" s="7">
        <v>113</v>
      </c>
      <c r="F117" s="7"/>
      <c r="G117" s="1">
        <f t="shared" si="12"/>
        <v>28.905229192766704</v>
      </c>
      <c r="H117" s="1">
        <f t="shared" si="13"/>
        <v>27.317618436462158</v>
      </c>
      <c r="I117" s="1">
        <f t="shared" si="14"/>
        <v>25.730007680157613</v>
      </c>
      <c r="J117" s="1"/>
      <c r="K117" s="32"/>
      <c r="L117" s="1">
        <f t="shared" si="15"/>
        <v>21.221459799293815</v>
      </c>
      <c r="M117" s="1">
        <f t="shared" si="16"/>
        <v>38.36918308156573</v>
      </c>
      <c r="N117" s="1">
        <f t="shared" si="17"/>
        <v>60.557922190905423</v>
      </c>
    </row>
    <row r="118" spans="1:14" x14ac:dyDescent="0.25">
      <c r="A118" s="20" t="s">
        <v>344</v>
      </c>
      <c r="B118" s="21" t="str">
        <f>LEFT(TRIM(dataset_2025_11_17T13_30_33_170025752Z_DEFAULT_INTEGRATION_IMF_RES_PCPS_9_0_0[[#This Row],[TIME_PERIOD]]),4)</f>
        <v>2020</v>
      </c>
      <c r="C118" s="7" t="s">
        <v>492</v>
      </c>
      <c r="D118">
        <v>33.088636363636397</v>
      </c>
      <c r="E118" s="7">
        <v>114</v>
      </c>
      <c r="F118" s="7"/>
      <c r="G118" s="1">
        <f t="shared" si="12"/>
        <v>32.590569648077185</v>
      </c>
      <c r="H118" s="1">
        <f t="shared" si="13"/>
        <v>31.208566977335753</v>
      </c>
      <c r="I118" s="1">
        <f t="shared" si="14"/>
        <v>29.826564306594324</v>
      </c>
      <c r="J118" s="1"/>
      <c r="K118" s="32"/>
      <c r="L118" s="1">
        <f t="shared" si="15"/>
        <v>0.24807045314794055</v>
      </c>
      <c r="M118" s="1">
        <f t="shared" si="16"/>
        <v>3.534660897304879</v>
      </c>
      <c r="N118" s="1">
        <f t="shared" si="17"/>
        <v>10.641114105334697</v>
      </c>
    </row>
    <row r="119" spans="1:14" x14ac:dyDescent="0.25">
      <c r="A119" s="18" t="s">
        <v>345</v>
      </c>
      <c r="B119" s="19" t="str">
        <f>LEFT(TRIM(dataset_2025_11_17T13_30_33_170025752Z_DEFAULT_INTEGRATION_IMF_RES_PCPS_9_0_0[[#This Row],[TIME_PERIOD]]),4)</f>
        <v>2020</v>
      </c>
      <c r="C119" s="7" t="s">
        <v>493</v>
      </c>
      <c r="D119">
        <v>32.360869565217399</v>
      </c>
      <c r="E119" s="7">
        <v>115</v>
      </c>
      <c r="F119" s="7"/>
      <c r="G119" s="1">
        <f t="shared" si="12"/>
        <v>32.989023020524556</v>
      </c>
      <c r="H119" s="1">
        <f t="shared" si="13"/>
        <v>32.839603005856787</v>
      </c>
      <c r="I119" s="1">
        <f t="shared" si="14"/>
        <v>32.690182991189026</v>
      </c>
      <c r="J119" s="1"/>
      <c r="K119" s="32"/>
      <c r="L119" s="1">
        <f t="shared" si="15"/>
        <v>0.39457676341431996</v>
      </c>
      <c r="M119" s="1">
        <f t="shared" si="16"/>
        <v>0.22918570718642658</v>
      </c>
      <c r="N119" s="1">
        <f t="shared" si="17"/>
        <v>0.10844733252517014</v>
      </c>
    </row>
    <row r="120" spans="1:14" x14ac:dyDescent="0.25">
      <c r="A120" s="20" t="s">
        <v>346</v>
      </c>
      <c r="B120" s="21" t="str">
        <f>LEFT(TRIM(dataset_2025_11_17T13_30_33_170025752Z_DEFAULT_INTEGRATION_IMF_RES_PCPS_9_0_0[[#This Row],[TIME_PERIOD]]),4)</f>
        <v>2020</v>
      </c>
      <c r="C120" s="7" t="s">
        <v>494</v>
      </c>
      <c r="D120">
        <v>31.376190476190501</v>
      </c>
      <c r="E120" s="7">
        <v>116</v>
      </c>
      <c r="F120" s="7"/>
      <c r="G120" s="1">
        <f t="shared" si="12"/>
        <v>32.486500256278831</v>
      </c>
      <c r="H120" s="1">
        <f t="shared" si="13"/>
        <v>32.674946292870978</v>
      </c>
      <c r="I120" s="1">
        <f t="shared" si="14"/>
        <v>32.863392329463124</v>
      </c>
      <c r="J120" s="1"/>
      <c r="K120" s="32"/>
      <c r="L120" s="1">
        <f t="shared" si="15"/>
        <v>1.2327878077597936</v>
      </c>
      <c r="M120" s="1">
        <f t="shared" si="16"/>
        <v>1.6867666713613703</v>
      </c>
      <c r="N120" s="1">
        <f t="shared" si="17"/>
        <v>2.2117693523775244</v>
      </c>
    </row>
    <row r="121" spans="1:14" x14ac:dyDescent="0.25">
      <c r="A121" s="18" t="s">
        <v>347</v>
      </c>
      <c r="B121" s="19" t="str">
        <f>LEFT(TRIM(dataset_2025_11_17T13_30_33_170025752Z_DEFAULT_INTEGRATION_IMF_RES_PCPS_9_0_0[[#This Row],[TIME_PERIOD]]),4)</f>
        <v>2020</v>
      </c>
      <c r="C121" s="7" t="s">
        <v>495</v>
      </c>
      <c r="D121">
        <v>29.981818181818198</v>
      </c>
      <c r="E121" s="7">
        <v>117</v>
      </c>
      <c r="F121" s="7"/>
      <c r="G121" s="1">
        <f t="shared" si="12"/>
        <v>31.59825243220817</v>
      </c>
      <c r="H121" s="1">
        <f t="shared" si="13"/>
        <v>31.931345366234666</v>
      </c>
      <c r="I121" s="1">
        <f t="shared" si="14"/>
        <v>32.264438300261169</v>
      </c>
      <c r="J121" s="1"/>
      <c r="K121" s="32"/>
      <c r="L121" s="1">
        <f t="shared" si="15"/>
        <v>2.61285968583379</v>
      </c>
      <c r="M121" s="1">
        <f t="shared" si="16"/>
        <v>3.8006562427787998</v>
      </c>
      <c r="N121" s="1">
        <f t="shared" si="17"/>
        <v>5.2103546051206013</v>
      </c>
    </row>
    <row r="122" spans="1:14" x14ac:dyDescent="0.25">
      <c r="A122" s="20" t="s">
        <v>348</v>
      </c>
      <c r="B122" s="21" t="str">
        <f>LEFT(TRIM(dataset_2025_11_17T13_30_33_170025752Z_DEFAULT_INTEGRATION_IMF_RES_PCPS_9_0_0[[#This Row],[TIME_PERIOD]]),4)</f>
        <v>2021</v>
      </c>
      <c r="C122" s="7" t="s">
        <v>496</v>
      </c>
      <c r="D122">
        <v>29.636363636363601</v>
      </c>
      <c r="E122" s="7">
        <v>118</v>
      </c>
      <c r="F122" s="7"/>
      <c r="G122" s="1">
        <f t="shared" si="12"/>
        <v>30.305105031896193</v>
      </c>
      <c r="H122" s="1">
        <f t="shared" si="13"/>
        <v>30.790035307013184</v>
      </c>
      <c r="I122" s="1">
        <f t="shared" si="14"/>
        <v>31.274965582130179</v>
      </c>
      <c r="J122" s="1"/>
      <c r="K122" s="32"/>
      <c r="L122" s="1">
        <f t="shared" si="15"/>
        <v>0.44721505409887902</v>
      </c>
      <c r="M122" s="1">
        <f t="shared" si="16"/>
        <v>1.3309583236594</v>
      </c>
      <c r="N122" s="1">
        <f t="shared" si="17"/>
        <v>2.6850163366700137</v>
      </c>
    </row>
    <row r="123" spans="1:14" x14ac:dyDescent="0.25">
      <c r="A123" s="18" t="s">
        <v>349</v>
      </c>
      <c r="B123" s="19" t="str">
        <f>LEFT(TRIM(dataset_2025_11_17T13_30_33_170025752Z_DEFAULT_INTEGRATION_IMF_RES_PCPS_9_0_0[[#This Row],[TIME_PERIOD]]),4)</f>
        <v>2021</v>
      </c>
      <c r="C123" s="7" t="s">
        <v>497</v>
      </c>
      <c r="D123">
        <v>29.485714285714302</v>
      </c>
      <c r="E123" s="7">
        <v>119</v>
      </c>
      <c r="F123" s="7"/>
      <c r="G123" s="1">
        <f t="shared" si="12"/>
        <v>29.770111915470121</v>
      </c>
      <c r="H123" s="1">
        <f t="shared" si="13"/>
        <v>29.970734334129897</v>
      </c>
      <c r="I123" s="1">
        <f t="shared" si="14"/>
        <v>30.171356752789674</v>
      </c>
      <c r="J123" s="1"/>
      <c r="K123" s="32"/>
      <c r="L123" s="1">
        <f t="shared" si="15"/>
        <v>8.0882011810728058E-2</v>
      </c>
      <c r="M123" s="1">
        <f t="shared" si="16"/>
        <v>0.23524444736506664</v>
      </c>
      <c r="N123" s="1">
        <f t="shared" si="17"/>
        <v>0.47010559265720231</v>
      </c>
    </row>
    <row r="124" spans="1:14" x14ac:dyDescent="0.25">
      <c r="A124" s="20" t="s">
        <v>350</v>
      </c>
      <c r="B124" s="21" t="str">
        <f>LEFT(TRIM(dataset_2025_11_17T13_30_33_170025752Z_DEFAULT_INTEGRATION_IMF_RES_PCPS_9_0_0[[#This Row],[TIME_PERIOD]]),4)</f>
        <v>2021</v>
      </c>
      <c r="C124" s="7" t="s">
        <v>498</v>
      </c>
      <c r="D124">
        <v>29.773913043478299</v>
      </c>
      <c r="E124" s="7">
        <v>120</v>
      </c>
      <c r="F124" s="7"/>
      <c r="G124" s="1">
        <f t="shared" si="12"/>
        <v>29.542593811665466</v>
      </c>
      <c r="H124" s="1">
        <f t="shared" si="13"/>
        <v>29.62791310059221</v>
      </c>
      <c r="I124" s="1">
        <f t="shared" si="14"/>
        <v>29.713232389518957</v>
      </c>
      <c r="J124" s="1"/>
      <c r="K124" s="32"/>
      <c r="L124" s="1">
        <f t="shared" si="15"/>
        <v>5.3508587006479161E-2</v>
      </c>
      <c r="M124" s="1">
        <f t="shared" si="16"/>
        <v>2.1315983322741244E-2</v>
      </c>
      <c r="N124" s="1">
        <f t="shared" si="17"/>
        <v>3.6821417649333366E-3</v>
      </c>
    </row>
    <row r="125" spans="1:14" x14ac:dyDescent="0.25">
      <c r="A125" s="18" t="s">
        <v>351</v>
      </c>
      <c r="B125" s="19" t="str">
        <f>LEFT(TRIM(dataset_2025_11_17T13_30_33_170025752Z_DEFAULT_INTEGRATION_IMF_RES_PCPS_9_0_0[[#This Row],[TIME_PERIOD]]),4)</f>
        <v>2021</v>
      </c>
      <c r="C125" s="7" t="s">
        <v>487</v>
      </c>
      <c r="D125">
        <v>29.8571428571429</v>
      </c>
      <c r="E125" s="7">
        <v>121</v>
      </c>
      <c r="F125" s="7"/>
      <c r="G125" s="1">
        <f t="shared" si="12"/>
        <v>29.727649197115731</v>
      </c>
      <c r="H125" s="1">
        <f t="shared" si="13"/>
        <v>29.658253427571882</v>
      </c>
      <c r="I125" s="1">
        <f t="shared" si="14"/>
        <v>29.588857658028033</v>
      </c>
      <c r="J125" s="1"/>
      <c r="K125" s="32"/>
      <c r="L125" s="1">
        <f t="shared" si="15"/>
        <v>1.6768607987232027E-2</v>
      </c>
      <c r="M125" s="1">
        <f t="shared" si="16"/>
        <v>3.9557005195085003E-2</v>
      </c>
      <c r="N125" s="1">
        <f t="shared" si="17"/>
        <v>7.1976948064104027E-2</v>
      </c>
    </row>
    <row r="126" spans="1:14" x14ac:dyDescent="0.25">
      <c r="A126" s="20" t="s">
        <v>352</v>
      </c>
      <c r="B126" s="21" t="str">
        <f>LEFT(TRIM(dataset_2025_11_17T13_30_33_170025752Z_DEFAULT_INTEGRATION_IMF_RES_PCPS_9_0_0[[#This Row],[TIME_PERIOD]]),4)</f>
        <v>2021</v>
      </c>
      <c r="C126" s="7" t="s">
        <v>488</v>
      </c>
      <c r="D126">
        <v>28.662500000000001</v>
      </c>
      <c r="E126" s="7">
        <v>122</v>
      </c>
      <c r="F126" s="7"/>
      <c r="G126" s="1">
        <f t="shared" si="12"/>
        <v>29.831244125137466</v>
      </c>
      <c r="H126" s="1">
        <f t="shared" si="13"/>
        <v>29.792396027129314</v>
      </c>
      <c r="I126" s="1">
        <f t="shared" si="14"/>
        <v>29.753547929121165</v>
      </c>
      <c r="J126" s="1"/>
      <c r="K126" s="32"/>
      <c r="L126" s="1">
        <f t="shared" si="15"/>
        <v>1.3659628300433386</v>
      </c>
      <c r="M126" s="1">
        <f t="shared" si="16"/>
        <v>1.2766650321226043</v>
      </c>
      <c r="N126" s="1">
        <f t="shared" si="17"/>
        <v>1.1903855836395798</v>
      </c>
    </row>
    <row r="127" spans="1:14" x14ac:dyDescent="0.25">
      <c r="A127" s="18" t="s">
        <v>353</v>
      </c>
      <c r="B127" s="19" t="str">
        <f>LEFT(TRIM(dataset_2025_11_17T13_30_33_170025752Z_DEFAULT_INTEGRATION_IMF_RES_PCPS_9_0_0[[#This Row],[TIME_PERIOD]]),4)</f>
        <v>2021</v>
      </c>
      <c r="C127" s="7" t="s">
        <v>489</v>
      </c>
      <c r="D127">
        <v>28.334782608695701</v>
      </c>
      <c r="E127" s="7">
        <v>123</v>
      </c>
      <c r="F127" s="7"/>
      <c r="G127" s="1">
        <f t="shared" si="12"/>
        <v>28.896248825027499</v>
      </c>
      <c r="H127" s="1">
        <f t="shared" si="13"/>
        <v>29.246872062568734</v>
      </c>
      <c r="I127" s="1">
        <f t="shared" si="14"/>
        <v>29.597495300109973</v>
      </c>
      <c r="J127" s="1"/>
      <c r="K127" s="32"/>
      <c r="L127" s="1">
        <f t="shared" si="15"/>
        <v>0.31524431208194542</v>
      </c>
      <c r="M127" s="1">
        <f t="shared" si="16"/>
        <v>0.83190717186640817</v>
      </c>
      <c r="N127" s="1">
        <f t="shared" si="17"/>
        <v>1.5944433410586747</v>
      </c>
    </row>
    <row r="128" spans="1:14" x14ac:dyDescent="0.25">
      <c r="A128" s="20" t="s">
        <v>354</v>
      </c>
      <c r="B128" s="21" t="str">
        <f>LEFT(TRIM(dataset_2025_11_17T13_30_33_170025752Z_DEFAULT_INTEGRATION_IMF_RES_PCPS_9_0_0[[#This Row],[TIME_PERIOD]]),4)</f>
        <v>2021</v>
      </c>
      <c r="C128" s="7" t="s">
        <v>490</v>
      </c>
      <c r="D128">
        <v>29.7522727272727</v>
      </c>
      <c r="E128" s="7">
        <v>124</v>
      </c>
      <c r="F128" s="7"/>
      <c r="G128" s="1">
        <f t="shared" si="12"/>
        <v>28.447075851962062</v>
      </c>
      <c r="H128" s="1">
        <f t="shared" si="13"/>
        <v>28.615515716861601</v>
      </c>
      <c r="I128" s="1">
        <f t="shared" si="14"/>
        <v>28.783955581761138</v>
      </c>
      <c r="J128" s="1"/>
      <c r="K128" s="32"/>
      <c r="L128" s="1">
        <f t="shared" si="15"/>
        <v>1.7035388833206548</v>
      </c>
      <c r="M128" s="1">
        <f t="shared" si="16"/>
        <v>1.2922165007187791</v>
      </c>
      <c r="N128" s="1">
        <f t="shared" si="17"/>
        <v>0.93763809429166078</v>
      </c>
    </row>
    <row r="129" spans="1:14" x14ac:dyDescent="0.25">
      <c r="A129" s="18" t="s">
        <v>355</v>
      </c>
      <c r="B129" s="19" t="str">
        <f>LEFT(TRIM(dataset_2025_11_17T13_30_33_170025752Z_DEFAULT_INTEGRATION_IMF_RES_PCPS_9_0_0[[#This Row],[TIME_PERIOD]]),4)</f>
        <v>2021</v>
      </c>
      <c r="C129" s="7" t="s">
        <v>491</v>
      </c>
      <c r="D129">
        <v>30.257142857142899</v>
      </c>
      <c r="E129" s="7">
        <v>125</v>
      </c>
      <c r="F129" s="7"/>
      <c r="G129" s="1">
        <f t="shared" si="12"/>
        <v>29.491233352210575</v>
      </c>
      <c r="H129" s="1">
        <f t="shared" si="13"/>
        <v>29.099674289617383</v>
      </c>
      <c r="I129" s="1">
        <f t="shared" si="14"/>
        <v>28.708115227024187</v>
      </c>
      <c r="J129" s="1"/>
      <c r="K129" s="32"/>
      <c r="L129" s="1">
        <f t="shared" si="15"/>
        <v>0.5866173697456778</v>
      </c>
      <c r="M129" s="1">
        <f t="shared" si="16"/>
        <v>1.3397334848095701</v>
      </c>
      <c r="N129" s="1">
        <f t="shared" si="17"/>
        <v>2.3994865988711918</v>
      </c>
    </row>
    <row r="130" spans="1:14" x14ac:dyDescent="0.25">
      <c r="A130" s="20" t="s">
        <v>356</v>
      </c>
      <c r="B130" s="21" t="str">
        <f>LEFT(TRIM(dataset_2025_11_17T13_30_33_170025752Z_DEFAULT_INTEGRATION_IMF_RES_PCPS_9_0_0[[#This Row],[TIME_PERIOD]]),4)</f>
        <v>2021</v>
      </c>
      <c r="C130" s="7" t="s">
        <v>492</v>
      </c>
      <c r="D130">
        <v>32.142105263157902</v>
      </c>
      <c r="E130" s="7">
        <v>126</v>
      </c>
      <c r="F130" s="7"/>
      <c r="G130" s="1">
        <f t="shared" si="12"/>
        <v>30.103960956156438</v>
      </c>
      <c r="H130" s="1">
        <f t="shared" si="13"/>
        <v>29.874188104676737</v>
      </c>
      <c r="I130" s="1">
        <f t="shared" si="14"/>
        <v>29.644415253197039</v>
      </c>
      <c r="J130" s="1"/>
      <c r="K130" s="32"/>
      <c r="L130" s="1">
        <f t="shared" si="15"/>
        <v>4.1540322161624754</v>
      </c>
      <c r="M130" s="1">
        <f t="shared" si="16"/>
        <v>5.1434482377332813</v>
      </c>
      <c r="N130" s="1">
        <f t="shared" si="17"/>
        <v>6.2384553858582947</v>
      </c>
    </row>
    <row r="131" spans="1:14" x14ac:dyDescent="0.25">
      <c r="A131" s="18" t="s">
        <v>357</v>
      </c>
      <c r="B131" s="19" t="str">
        <f>LEFT(TRIM(dataset_2025_11_17T13_30_33_170025752Z_DEFAULT_INTEGRATION_IMF_RES_PCPS_9_0_0[[#This Row],[TIME_PERIOD]]),4)</f>
        <v>2021</v>
      </c>
      <c r="C131" s="7" t="s">
        <v>493</v>
      </c>
      <c r="D131">
        <v>32.338636363636397</v>
      </c>
      <c r="E131" s="7">
        <v>127</v>
      </c>
      <c r="F131" s="7"/>
      <c r="G131" s="1">
        <f t="shared" si="12"/>
        <v>31.734476401757611</v>
      </c>
      <c r="H131" s="1">
        <f t="shared" si="13"/>
        <v>31.123033109657172</v>
      </c>
      <c r="I131" s="1">
        <f t="shared" si="14"/>
        <v>30.511589817556732</v>
      </c>
      <c r="J131" s="1"/>
      <c r="K131" s="32"/>
      <c r="L131" s="1">
        <f t="shared" si="15"/>
        <v>0.36500925953737567</v>
      </c>
      <c r="M131" s="1">
        <f t="shared" si="16"/>
        <v>1.4776912710848802</v>
      </c>
      <c r="N131" s="1">
        <f t="shared" si="17"/>
        <v>3.3380990815416309</v>
      </c>
    </row>
    <row r="132" spans="1:14" x14ac:dyDescent="0.25">
      <c r="A132" s="20" t="s">
        <v>358</v>
      </c>
      <c r="B132" s="21" t="str">
        <f>LEFT(TRIM(dataset_2025_11_17T13_30_33_170025752Z_DEFAULT_INTEGRATION_IMF_RES_PCPS_9_0_0[[#This Row],[TIME_PERIOD]]),4)</f>
        <v>2021</v>
      </c>
      <c r="C132" s="7" t="s">
        <v>494</v>
      </c>
      <c r="D132">
        <v>32.147727272727302</v>
      </c>
      <c r="E132" s="7">
        <v>128</v>
      </c>
      <c r="F132" s="7"/>
      <c r="G132" s="1">
        <f t="shared" si="12"/>
        <v>32.217804371260641</v>
      </c>
      <c r="H132" s="1">
        <f t="shared" si="13"/>
        <v>32.036556382697</v>
      </c>
      <c r="I132" s="1">
        <f t="shared" si="14"/>
        <v>31.855308394133367</v>
      </c>
      <c r="J132" s="1"/>
      <c r="K132" s="32"/>
      <c r="L132" s="1">
        <f t="shared" si="15"/>
        <v>4.9107997388513321E-3</v>
      </c>
      <c r="M132" s="1">
        <f t="shared" si="16"/>
        <v>1.2358966790129378E-2</v>
      </c>
      <c r="N132" s="1">
        <f t="shared" si="17"/>
        <v>8.5508800558134507E-2</v>
      </c>
    </row>
    <row r="133" spans="1:14" x14ac:dyDescent="0.25">
      <c r="A133" s="18" t="s">
        <v>359</v>
      </c>
      <c r="B133" s="19" t="str">
        <f>LEFT(TRIM(dataset_2025_11_17T13_30_33_170025752Z_DEFAULT_INTEGRATION_IMF_RES_PCPS_9_0_0[[#This Row],[TIME_PERIOD]]),4)</f>
        <v>2021</v>
      </c>
      <c r="C133" s="7" t="s">
        <v>495</v>
      </c>
      <c r="D133">
        <v>45.078125</v>
      </c>
      <c r="E133" s="7">
        <v>129</v>
      </c>
      <c r="F133" s="7"/>
      <c r="G133" s="1">
        <f t="shared" si="12"/>
        <v>32.161742692433975</v>
      </c>
      <c r="H133" s="1">
        <f t="shared" si="13"/>
        <v>32.182765821993968</v>
      </c>
      <c r="I133" s="1">
        <f t="shared" si="14"/>
        <v>32.203788951553975</v>
      </c>
      <c r="J133" s="1"/>
      <c r="K133" s="32"/>
      <c r="L133" s="1">
        <f t="shared" si="15"/>
        <v>166.83293191520463</v>
      </c>
      <c r="M133" s="1">
        <f t="shared" si="16"/>
        <v>166.2902883297844</v>
      </c>
      <c r="N133" s="1">
        <f t="shared" si="17"/>
        <v>165.74852868831681</v>
      </c>
    </row>
    <row r="134" spans="1:14" x14ac:dyDescent="0.25">
      <c r="A134" s="20" t="s">
        <v>360</v>
      </c>
      <c r="B134" s="21" t="str">
        <f>LEFT(TRIM(dataset_2025_11_17T13_30_33_170025752Z_DEFAULT_INTEGRATION_IMF_RES_PCPS_9_0_0[[#This Row],[TIME_PERIOD]]),4)</f>
        <v>2022</v>
      </c>
      <c r="C134" s="7" t="s">
        <v>496</v>
      </c>
      <c r="D134">
        <v>38.476190476190503</v>
      </c>
      <c r="E134" s="7">
        <v>130</v>
      </c>
      <c r="F134" s="7"/>
      <c r="G134" s="1">
        <f t="shared" si="12"/>
        <v>42.494848538486792</v>
      </c>
      <c r="H134" s="1">
        <f t="shared" si="13"/>
        <v>38.619933846216988</v>
      </c>
      <c r="I134" s="1">
        <f t="shared" si="14"/>
        <v>34.745019153947183</v>
      </c>
      <c r="J134" s="1"/>
      <c r="K134" s="32"/>
      <c r="L134" s="1">
        <f t="shared" ref="L134:L165" si="18">(G134-$D134)^2</f>
        <v>16.149612621658967</v>
      </c>
      <c r="M134" s="1">
        <f t="shared" ref="M134:M165" si="19">(H134-$D134)^2</f>
        <v>2.0662156426570912E-2</v>
      </c>
      <c r="N134" s="1">
        <f t="shared" ref="N134:N165" si="20">(I134-$D134)^2</f>
        <v>13.921639435930963</v>
      </c>
    </row>
    <row r="135" spans="1:14" x14ac:dyDescent="0.25">
      <c r="A135" s="18" t="s">
        <v>361</v>
      </c>
      <c r="B135" s="19" t="str">
        <f>LEFT(TRIM(dataset_2025_11_17T13_30_33_170025752Z_DEFAULT_INTEGRATION_IMF_RES_PCPS_9_0_0[[#This Row],[TIME_PERIOD]]),4)</f>
        <v>2022</v>
      </c>
      <c r="C135" s="7" t="s">
        <v>497</v>
      </c>
      <c r="D135">
        <v>31.099584036972999</v>
      </c>
      <c r="E135" s="7">
        <v>131</v>
      </c>
      <c r="F135" s="7"/>
      <c r="G135" s="1">
        <f t="shared" si="12"/>
        <v>39.279922088649762</v>
      </c>
      <c r="H135" s="1">
        <f t="shared" si="13"/>
        <v>40.485519507338651</v>
      </c>
      <c r="I135" s="1">
        <f t="shared" si="14"/>
        <v>41.691116926027533</v>
      </c>
      <c r="J135" s="1"/>
      <c r="K135" s="32"/>
      <c r="L135" s="1">
        <f t="shared" si="18"/>
        <v>66.917930639710775</v>
      </c>
      <c r="M135" s="1">
        <f t="shared" si="19"/>
        <v>88.095784653868094</v>
      </c>
      <c r="N135" s="1">
        <f t="shared" si="20"/>
        <v>112.18056893992389</v>
      </c>
    </row>
    <row r="136" spans="1:14" x14ac:dyDescent="0.25">
      <c r="A136" s="20" t="s">
        <v>362</v>
      </c>
      <c r="B136" s="21" t="str">
        <f>LEFT(TRIM(dataset_2025_11_17T13_30_33_170025752Z_DEFAULT_INTEGRATION_IMF_RES_PCPS_9_0_0[[#This Row],[TIME_PERIOD]]),4)</f>
        <v>2022</v>
      </c>
      <c r="C136" s="7" t="s">
        <v>498</v>
      </c>
      <c r="D136">
        <v>36.129303027444998</v>
      </c>
      <c r="E136" s="7">
        <v>132</v>
      </c>
      <c r="F136" s="7"/>
      <c r="G136" s="1">
        <f t="shared" ref="G136:G182" si="21">$G$4*G135+(1-$G$4)*D135</f>
        <v>32.735651647308359</v>
      </c>
      <c r="H136" s="1">
        <f t="shared" ref="H136:H182" si="22">$H$4*G135+(1-$H$4)*D135</f>
        <v>35.189753062811377</v>
      </c>
      <c r="I136" s="1">
        <f t="shared" ref="I136:I182" si="23">$I$4*G135+(1-$I$4)*D135</f>
        <v>37.64385447831441</v>
      </c>
      <c r="J136" s="1"/>
      <c r="K136" s="32"/>
      <c r="L136" s="1">
        <f t="shared" si="18"/>
        <v>11.516869689903313</v>
      </c>
      <c r="M136" s="1">
        <f t="shared" si="19"/>
        <v>0.88275413604303754</v>
      </c>
      <c r="N136" s="1">
        <f t="shared" si="20"/>
        <v>2.2938660973306408</v>
      </c>
    </row>
    <row r="137" spans="1:14" x14ac:dyDescent="0.25">
      <c r="A137" s="18" t="s">
        <v>363</v>
      </c>
      <c r="B137" s="19" t="str">
        <f>LEFT(TRIM(dataset_2025_11_17T13_30_33_170025752Z_DEFAULT_INTEGRATION_IMF_RES_PCPS_9_0_0[[#This Row],[TIME_PERIOD]]),4)</f>
        <v>2022</v>
      </c>
      <c r="C137" s="7" t="s">
        <v>487</v>
      </c>
      <c r="D137">
        <v>36.872921185827899</v>
      </c>
      <c r="E137" s="7">
        <v>133</v>
      </c>
      <c r="F137" s="7"/>
      <c r="G137" s="1">
        <f t="shared" si="21"/>
        <v>35.450572751417674</v>
      </c>
      <c r="H137" s="1">
        <f t="shared" si="22"/>
        <v>34.432477337376682</v>
      </c>
      <c r="I137" s="1">
        <f t="shared" si="23"/>
        <v>33.414381923335689</v>
      </c>
      <c r="J137" s="1"/>
      <c r="K137" s="32"/>
      <c r="L137" s="1">
        <f t="shared" si="18"/>
        <v>2.023075068869217</v>
      </c>
      <c r="M137" s="1">
        <f t="shared" si="19"/>
        <v>5.9557661774433868</v>
      </c>
      <c r="N137" s="1">
        <f t="shared" si="20"/>
        <v>11.961493830200155</v>
      </c>
    </row>
    <row r="138" spans="1:14" x14ac:dyDescent="0.25">
      <c r="A138" s="20" t="s">
        <v>364</v>
      </c>
      <c r="B138" s="21" t="str">
        <f>LEFT(TRIM(dataset_2025_11_17T13_30_33_170025752Z_DEFAULT_INTEGRATION_IMF_RES_PCPS_9_0_0[[#This Row],[TIME_PERIOD]]),4)</f>
        <v>2022</v>
      </c>
      <c r="C138" s="7" t="s">
        <v>488</v>
      </c>
      <c r="D138">
        <v>35.8319143167028</v>
      </c>
      <c r="E138" s="7">
        <v>134</v>
      </c>
      <c r="F138" s="7"/>
      <c r="G138" s="1">
        <f t="shared" si="21"/>
        <v>36.588451498945858</v>
      </c>
      <c r="H138" s="1">
        <f t="shared" si="22"/>
        <v>36.161746968622786</v>
      </c>
      <c r="I138" s="1">
        <f t="shared" si="23"/>
        <v>35.735042438299715</v>
      </c>
      <c r="J138" s="1"/>
      <c r="K138" s="32"/>
      <c r="L138" s="1">
        <f t="shared" si="18"/>
        <v>0.57234850811626559</v>
      </c>
      <c r="M138" s="1">
        <f t="shared" si="19"/>
        <v>0.10878957827257073</v>
      </c>
      <c r="N138" s="1">
        <f t="shared" si="20"/>
        <v>9.3841608253421895E-3</v>
      </c>
    </row>
    <row r="139" spans="1:14" x14ac:dyDescent="0.25">
      <c r="A139" s="18" t="s">
        <v>365</v>
      </c>
      <c r="B139" s="19" t="str">
        <f>LEFT(TRIM(dataset_2025_11_17T13_30_33_170025752Z_DEFAULT_INTEGRATION_IMF_RES_PCPS_9_0_0[[#This Row],[TIME_PERIOD]]),4)</f>
        <v>2022</v>
      </c>
      <c r="C139" s="7" t="s">
        <v>489</v>
      </c>
      <c r="D139">
        <v>45.514701028010897</v>
      </c>
      <c r="E139" s="7">
        <v>135</v>
      </c>
      <c r="F139" s="7"/>
      <c r="G139" s="1">
        <f t="shared" si="21"/>
        <v>35.983221753151412</v>
      </c>
      <c r="H139" s="1">
        <f t="shared" si="22"/>
        <v>36.210182907824333</v>
      </c>
      <c r="I139" s="1">
        <f t="shared" si="23"/>
        <v>36.437144062497246</v>
      </c>
      <c r="J139" s="1"/>
      <c r="K139" s="32"/>
      <c r="L139" s="1">
        <f t="shared" si="18"/>
        <v>90.849097167075897</v>
      </c>
      <c r="M139" s="1">
        <f t="shared" si="19"/>
        <v>86.574057448880126</v>
      </c>
      <c r="N139" s="1">
        <f t="shared" si="20"/>
        <v>82.402040462145393</v>
      </c>
    </row>
    <row r="140" spans="1:14" x14ac:dyDescent="0.25">
      <c r="A140" s="20" t="s">
        <v>366</v>
      </c>
      <c r="B140" s="21" t="str">
        <f>LEFT(TRIM(dataset_2025_11_17T13_30_33_170025752Z_DEFAULT_INTEGRATION_IMF_RES_PCPS_9_0_0[[#This Row],[TIME_PERIOD]]),4)</f>
        <v>2022</v>
      </c>
      <c r="C140" s="7" t="s">
        <v>490</v>
      </c>
      <c r="D140">
        <v>48.704730916227597</v>
      </c>
      <c r="E140" s="7">
        <v>136</v>
      </c>
      <c r="F140" s="7"/>
      <c r="G140" s="1">
        <f t="shared" si="21"/>
        <v>43.608405173039003</v>
      </c>
      <c r="H140" s="1">
        <f t="shared" si="22"/>
        <v>40.748961390581158</v>
      </c>
      <c r="I140" s="1">
        <f t="shared" si="23"/>
        <v>37.889517608123313</v>
      </c>
      <c r="J140" s="1"/>
      <c r="K140" s="32"/>
      <c r="L140" s="1">
        <f t="shared" si="18"/>
        <v>25.972536080686769</v>
      </c>
      <c r="M140" s="1">
        <f t="shared" si="19"/>
        <v>63.294268745204555</v>
      </c>
      <c r="N140" s="1">
        <f t="shared" si="20"/>
        <v>116.968838899796</v>
      </c>
    </row>
    <row r="141" spans="1:14" x14ac:dyDescent="0.25">
      <c r="A141" s="18" t="s">
        <v>367</v>
      </c>
      <c r="B141" s="19" t="str">
        <f>LEFT(TRIM(dataset_2025_11_17T13_30_33_170025752Z_DEFAULT_INTEGRATION_IMF_RES_PCPS_9_0_0[[#This Row],[TIME_PERIOD]]),4)</f>
        <v>2022</v>
      </c>
      <c r="C141" s="7" t="s">
        <v>491</v>
      </c>
      <c r="D141">
        <v>40.891626405048299</v>
      </c>
      <c r="E141" s="7">
        <v>137</v>
      </c>
      <c r="F141" s="7"/>
      <c r="G141" s="1">
        <f t="shared" si="21"/>
        <v>47.685465767589875</v>
      </c>
      <c r="H141" s="1">
        <f t="shared" si="22"/>
        <v>46.156568044633303</v>
      </c>
      <c r="I141" s="1">
        <f t="shared" si="23"/>
        <v>44.627670321676725</v>
      </c>
      <c r="J141" s="1"/>
      <c r="K141" s="32"/>
      <c r="L141" s="1">
        <f t="shared" si="18"/>
        <v>46.156253284019321</v>
      </c>
      <c r="M141" s="1">
        <f t="shared" si="19"/>
        <v>27.719610468236031</v>
      </c>
      <c r="N141" s="1">
        <f t="shared" si="20"/>
        <v>13.958024146976262</v>
      </c>
    </row>
    <row r="142" spans="1:14" x14ac:dyDescent="0.25">
      <c r="A142" s="20" t="s">
        <v>368</v>
      </c>
      <c r="B142" s="21" t="str">
        <f>LEFT(TRIM(dataset_2025_11_17T13_30_33_170025752Z_DEFAULT_INTEGRATION_IMF_RES_PCPS_9_0_0[[#This Row],[TIME_PERIOD]]),4)</f>
        <v>2022</v>
      </c>
      <c r="C142" s="7" t="s">
        <v>492</v>
      </c>
      <c r="D142">
        <v>40.331517452179</v>
      </c>
      <c r="E142" s="7">
        <v>138</v>
      </c>
      <c r="F142" s="7"/>
      <c r="G142" s="1">
        <f t="shared" si="21"/>
        <v>42.250394277556623</v>
      </c>
      <c r="H142" s="1">
        <f t="shared" si="22"/>
        <v>44.288546086319087</v>
      </c>
      <c r="I142" s="1">
        <f t="shared" si="23"/>
        <v>46.326697895081558</v>
      </c>
      <c r="J142" s="1"/>
      <c r="K142" s="32"/>
      <c r="L142" s="1">
        <f t="shared" si="18"/>
        <v>3.6820882709713052</v>
      </c>
      <c r="M142" s="1">
        <f t="shared" si="19"/>
        <v>15.658075611404564</v>
      </c>
      <c r="N142" s="1">
        <f t="shared" si="20"/>
        <v>35.942188542961318</v>
      </c>
    </row>
    <row r="143" spans="1:14" x14ac:dyDescent="0.25">
      <c r="A143" s="18" t="s">
        <v>369</v>
      </c>
      <c r="B143" s="19" t="str">
        <f>LEFT(TRIM(dataset_2025_11_17T13_30_33_170025752Z_DEFAULT_INTEGRATION_IMF_RES_PCPS_9_0_0[[#This Row],[TIME_PERIOD]]),4)</f>
        <v>2022</v>
      </c>
      <c r="C143" s="7" t="s">
        <v>493</v>
      </c>
      <c r="D143">
        <v>38.939159177770797</v>
      </c>
      <c r="E143" s="7">
        <v>139</v>
      </c>
      <c r="F143" s="7"/>
      <c r="G143" s="1">
        <f t="shared" si="21"/>
        <v>40.715292817254522</v>
      </c>
      <c r="H143" s="1">
        <f t="shared" si="22"/>
        <v>41.290955864867811</v>
      </c>
      <c r="I143" s="1">
        <f t="shared" si="23"/>
        <v>41.866618912481101</v>
      </c>
      <c r="J143" s="1"/>
      <c r="K143" s="32"/>
      <c r="L143" s="1">
        <f t="shared" si="18"/>
        <v>3.1546507053057007</v>
      </c>
      <c r="M143" s="1">
        <f t="shared" si="19"/>
        <v>5.5309476574404908</v>
      </c>
      <c r="N143" s="1">
        <f t="shared" si="20"/>
        <v>8.5700204983501234</v>
      </c>
    </row>
    <row r="144" spans="1:14" x14ac:dyDescent="0.25">
      <c r="A144" s="20" t="s">
        <v>370</v>
      </c>
      <c r="B144" s="21" t="str">
        <f>LEFT(TRIM(dataset_2025_11_17T13_30_33_170025752Z_DEFAULT_INTEGRATION_IMF_RES_PCPS_9_0_0[[#This Row],[TIME_PERIOD]]),4)</f>
        <v>2022</v>
      </c>
      <c r="C144" s="7" t="s">
        <v>494</v>
      </c>
      <c r="D144">
        <v>39.802308308969103</v>
      </c>
      <c r="E144" s="7">
        <v>140</v>
      </c>
      <c r="F144" s="7"/>
      <c r="G144" s="1">
        <f t="shared" si="21"/>
        <v>39.294385905667546</v>
      </c>
      <c r="H144" s="1">
        <f t="shared" si="22"/>
        <v>39.827225997512656</v>
      </c>
      <c r="I144" s="1">
        <f t="shared" si="23"/>
        <v>40.36006608935778</v>
      </c>
      <c r="J144" s="1"/>
      <c r="K144" s="32"/>
      <c r="L144" s="1">
        <f t="shared" si="18"/>
        <v>0.25798516777562885</v>
      </c>
      <c r="M144" s="1">
        <f t="shared" si="19"/>
        <v>6.208912023535194E-4</v>
      </c>
      <c r="N144" s="1">
        <f t="shared" si="20"/>
        <v>0.31109374158410347</v>
      </c>
    </row>
    <row r="145" spans="1:14" x14ac:dyDescent="0.25">
      <c r="A145" s="18" t="s">
        <v>371</v>
      </c>
      <c r="B145" s="19" t="str">
        <f>LEFT(TRIM(dataset_2025_11_17T13_30_33_170025752Z_DEFAULT_INTEGRATION_IMF_RES_PCPS_9_0_0[[#This Row],[TIME_PERIOD]]),4)</f>
        <v>2022</v>
      </c>
      <c r="C145" s="7" t="s">
        <v>495</v>
      </c>
      <c r="D145">
        <v>40.950391934529598</v>
      </c>
      <c r="E145" s="7">
        <v>141</v>
      </c>
      <c r="F145" s="7"/>
      <c r="G145" s="1">
        <f t="shared" si="21"/>
        <v>39.700723828308796</v>
      </c>
      <c r="H145" s="1">
        <f t="shared" si="22"/>
        <v>39.548347107318321</v>
      </c>
      <c r="I145" s="1">
        <f t="shared" si="23"/>
        <v>39.395970386327861</v>
      </c>
      <c r="J145" s="1"/>
      <c r="K145" s="32"/>
      <c r="L145" s="1">
        <f t="shared" si="18"/>
        <v>1.5616703757054871</v>
      </c>
      <c r="M145" s="1">
        <f t="shared" si="19"/>
        <v>1.9657296975099006</v>
      </c>
      <c r="N145" s="1">
        <f t="shared" si="20"/>
        <v>2.4162263495138876</v>
      </c>
    </row>
    <row r="146" spans="1:14" x14ac:dyDescent="0.25">
      <c r="A146" s="20" t="s">
        <v>372</v>
      </c>
      <c r="B146" s="21" t="str">
        <f>LEFT(TRIM(dataset_2025_11_17T13_30_33_170025752Z_DEFAULT_INTEGRATION_IMF_RES_PCPS_9_0_0[[#This Row],[TIME_PERIOD]]),4)</f>
        <v>2023</v>
      </c>
      <c r="C146" s="7" t="s">
        <v>496</v>
      </c>
      <c r="D146">
        <v>41.303597252349903</v>
      </c>
      <c r="E146" s="7">
        <v>142</v>
      </c>
      <c r="F146" s="7"/>
      <c r="G146" s="1">
        <f t="shared" si="21"/>
        <v>40.700458313285438</v>
      </c>
      <c r="H146" s="1">
        <f t="shared" si="22"/>
        <v>40.325557881419201</v>
      </c>
      <c r="I146" s="1">
        <f t="shared" si="23"/>
        <v>39.950657449552956</v>
      </c>
      <c r="J146" s="1"/>
      <c r="K146" s="32"/>
      <c r="L146" s="1">
        <f t="shared" si="18"/>
        <v>0.36377657981580819</v>
      </c>
      <c r="M146" s="1">
        <f t="shared" si="19"/>
        <v>0.95656101109052338</v>
      </c>
      <c r="N146" s="1">
        <f t="shared" si="20"/>
        <v>1.8304461099922402</v>
      </c>
    </row>
    <row r="147" spans="1:14" x14ac:dyDescent="0.25">
      <c r="A147" s="18" t="s">
        <v>373</v>
      </c>
      <c r="B147" s="19" t="str">
        <f>LEFT(TRIM(dataset_2025_11_17T13_30_33_170025752Z_DEFAULT_INTEGRATION_IMF_RES_PCPS_9_0_0[[#This Row],[TIME_PERIOD]]),4)</f>
        <v>2023</v>
      </c>
      <c r="C147" s="7" t="s">
        <v>497</v>
      </c>
      <c r="D147">
        <v>40.954064780122202</v>
      </c>
      <c r="E147" s="7">
        <v>143</v>
      </c>
      <c r="F147" s="7"/>
      <c r="G147" s="1">
        <f t="shared" si="21"/>
        <v>41.18296946453701</v>
      </c>
      <c r="H147" s="1">
        <f t="shared" si="22"/>
        <v>41.00202778281767</v>
      </c>
      <c r="I147" s="1">
        <f t="shared" si="23"/>
        <v>40.821086101098331</v>
      </c>
      <c r="J147" s="1"/>
      <c r="K147" s="32"/>
      <c r="L147" s="1">
        <f t="shared" si="18"/>
        <v>5.2397354547042613E-2</v>
      </c>
      <c r="M147" s="1">
        <f t="shared" si="19"/>
        <v>2.3004496275654753E-3</v>
      </c>
      <c r="N147" s="1">
        <f t="shared" si="20"/>
        <v>1.7683329074933814E-2</v>
      </c>
    </row>
    <row r="148" spans="1:14" x14ac:dyDescent="0.25">
      <c r="A148" s="20" t="s">
        <v>374</v>
      </c>
      <c r="B148" s="21" t="str">
        <f>LEFT(TRIM(dataset_2025_11_17T13_30_33_170025752Z_DEFAULT_INTEGRATION_IMF_RES_PCPS_9_0_0[[#This Row],[TIME_PERIOD]]),4)</f>
        <v>2023</v>
      </c>
      <c r="C148" s="7" t="s">
        <v>498</v>
      </c>
      <c r="D148">
        <v>39.178243936107201</v>
      </c>
      <c r="E148" s="7">
        <v>144</v>
      </c>
      <c r="F148" s="7"/>
      <c r="G148" s="1">
        <f t="shared" si="21"/>
        <v>40.999845717005165</v>
      </c>
      <c r="H148" s="1">
        <f t="shared" si="22"/>
        <v>41.068517122329609</v>
      </c>
      <c r="I148" s="1">
        <f t="shared" si="23"/>
        <v>41.137188527654047</v>
      </c>
      <c r="J148" s="1"/>
      <c r="K148" s="32"/>
      <c r="L148" s="1">
        <f t="shared" si="18"/>
        <v>3.3182330481706352</v>
      </c>
      <c r="M148" s="1">
        <f t="shared" si="19"/>
        <v>3.5731327185514168</v>
      </c>
      <c r="N148" s="1">
        <f t="shared" si="20"/>
        <v>3.8374639127506391</v>
      </c>
    </row>
    <row r="149" spans="1:14" x14ac:dyDescent="0.25">
      <c r="A149" s="18" t="s">
        <v>375</v>
      </c>
      <c r="B149" s="19" t="str">
        <f>LEFT(TRIM(dataset_2025_11_17T13_30_33_170025752Z_DEFAULT_INTEGRATION_IMF_RES_PCPS_9_0_0[[#This Row],[TIME_PERIOD]]),4)</f>
        <v>2023</v>
      </c>
      <c r="C149" s="7" t="s">
        <v>487</v>
      </c>
      <c r="D149">
        <v>40.063399723920199</v>
      </c>
      <c r="E149" s="7">
        <v>145</v>
      </c>
      <c r="F149" s="7"/>
      <c r="G149" s="1">
        <f t="shared" si="21"/>
        <v>39.542564292286798</v>
      </c>
      <c r="H149" s="1">
        <f t="shared" si="22"/>
        <v>40.089044826556183</v>
      </c>
      <c r="I149" s="1">
        <f t="shared" si="23"/>
        <v>40.635525360825568</v>
      </c>
      <c r="J149" s="1"/>
      <c r="K149" s="32"/>
      <c r="L149" s="1">
        <f t="shared" si="18"/>
        <v>0.27126954684475107</v>
      </c>
      <c r="M149" s="1">
        <f t="shared" si="19"/>
        <v>6.5767128921015731E-4</v>
      </c>
      <c r="N149" s="1">
        <f t="shared" si="20"/>
        <v>0.32732774440437423</v>
      </c>
    </row>
    <row r="150" spans="1:14" x14ac:dyDescent="0.25">
      <c r="A150" s="20" t="s">
        <v>376</v>
      </c>
      <c r="B150" s="21" t="str">
        <f>LEFT(TRIM(dataset_2025_11_17T13_30_33_170025752Z_DEFAULT_INTEGRATION_IMF_RES_PCPS_9_0_0[[#This Row],[TIME_PERIOD]]),4)</f>
        <v>2023</v>
      </c>
      <c r="C150" s="7" t="s">
        <v>488</v>
      </c>
      <c r="D150">
        <v>41.314370932754798</v>
      </c>
      <c r="E150" s="7">
        <v>146</v>
      </c>
      <c r="F150" s="7"/>
      <c r="G150" s="1">
        <f t="shared" si="21"/>
        <v>39.959232637593516</v>
      </c>
      <c r="H150" s="1">
        <f t="shared" si="22"/>
        <v>39.802982008103498</v>
      </c>
      <c r="I150" s="1">
        <f t="shared" si="23"/>
        <v>39.646731378613481</v>
      </c>
      <c r="J150" s="1"/>
      <c r="K150" s="32"/>
      <c r="L150" s="1">
        <f t="shared" si="18"/>
        <v>1.8363997990126266</v>
      </c>
      <c r="M150" s="1">
        <f t="shared" si="19"/>
        <v>2.284296481558612</v>
      </c>
      <c r="N150" s="1">
        <f t="shared" si="20"/>
        <v>2.7810216825366512</v>
      </c>
    </row>
    <row r="151" spans="1:14" x14ac:dyDescent="0.25">
      <c r="A151" s="18" t="s">
        <v>377</v>
      </c>
      <c r="B151" s="19" t="str">
        <f>LEFT(TRIM(dataset_2025_11_17T13_30_33_170025752Z_DEFAULT_INTEGRATION_IMF_RES_PCPS_9_0_0[[#This Row],[TIME_PERIOD]]),4)</f>
        <v>2023</v>
      </c>
      <c r="C151" s="7" t="s">
        <v>489</v>
      </c>
      <c r="D151">
        <v>40.741523004909098</v>
      </c>
      <c r="E151" s="7">
        <v>147</v>
      </c>
      <c r="F151" s="7"/>
      <c r="G151" s="1">
        <f t="shared" si="21"/>
        <v>41.043343273722542</v>
      </c>
      <c r="H151" s="1">
        <f t="shared" si="22"/>
        <v>40.636801785174157</v>
      </c>
      <c r="I151" s="1">
        <f t="shared" si="23"/>
        <v>40.230260296625772</v>
      </c>
      <c r="J151" s="1"/>
      <c r="K151" s="32"/>
      <c r="L151" s="1">
        <f t="shared" si="18"/>
        <v>9.1095474666619422E-2</v>
      </c>
      <c r="M151" s="1">
        <f t="shared" si="19"/>
        <v>1.096653386277379E-2</v>
      </c>
      <c r="N151" s="1">
        <f t="shared" si="20"/>
        <v>0.26138955688120097</v>
      </c>
    </row>
    <row r="152" spans="1:14" x14ac:dyDescent="0.25">
      <c r="A152" s="20" t="s">
        <v>378</v>
      </c>
      <c r="B152" s="21" t="str">
        <f>LEFT(TRIM(dataset_2025_11_17T13_30_33_170025752Z_DEFAULT_INTEGRATION_IMF_RES_PCPS_9_0_0[[#This Row],[TIME_PERIOD]]),4)</f>
        <v>2023</v>
      </c>
      <c r="C152" s="7" t="s">
        <v>490</v>
      </c>
      <c r="D152">
        <v>41.762017353579097</v>
      </c>
      <c r="E152" s="7">
        <v>148</v>
      </c>
      <c r="F152" s="7"/>
      <c r="G152" s="1">
        <f t="shared" si="21"/>
        <v>40.801887058671788</v>
      </c>
      <c r="H152" s="1">
        <f t="shared" si="22"/>
        <v>40.89243313931582</v>
      </c>
      <c r="I152" s="1">
        <f t="shared" si="23"/>
        <v>40.982979219959851</v>
      </c>
      <c r="J152" s="1"/>
      <c r="K152" s="32"/>
      <c r="L152" s="1">
        <f t="shared" si="18"/>
        <v>0.92185018319879564</v>
      </c>
      <c r="M152" s="1">
        <f t="shared" si="19"/>
        <v>0.75617670569588091</v>
      </c>
      <c r="N152" s="1">
        <f t="shared" si="20"/>
        <v>0.60690041363295721</v>
      </c>
    </row>
    <row r="153" spans="1:14" x14ac:dyDescent="0.25">
      <c r="A153" s="18" t="s">
        <v>379</v>
      </c>
      <c r="B153" s="19" t="str">
        <f>LEFT(TRIM(dataset_2025_11_17T13_30_33_170025752Z_DEFAULT_INTEGRATION_IMF_RES_PCPS_9_0_0[[#This Row],[TIME_PERIOD]]),4)</f>
        <v>2023</v>
      </c>
      <c r="C153" s="7" t="s">
        <v>491</v>
      </c>
      <c r="D153">
        <v>43.462666226539497</v>
      </c>
      <c r="E153" s="7">
        <v>149</v>
      </c>
      <c r="F153" s="7"/>
      <c r="G153" s="1">
        <f t="shared" si="21"/>
        <v>41.569991294597635</v>
      </c>
      <c r="H153" s="1">
        <f t="shared" si="22"/>
        <v>41.281952206125439</v>
      </c>
      <c r="I153" s="1">
        <f t="shared" si="23"/>
        <v>40.99391311765325</v>
      </c>
      <c r="J153" s="1"/>
      <c r="K153" s="32"/>
      <c r="L153" s="1">
        <f t="shared" si="18"/>
        <v>3.5822183980011313</v>
      </c>
      <c r="M153" s="1">
        <f t="shared" si="19"/>
        <v>4.7555136388304451</v>
      </c>
      <c r="N153" s="1">
        <f t="shared" si="20"/>
        <v>6.0947419126355102</v>
      </c>
    </row>
    <row r="154" spans="1:14" x14ac:dyDescent="0.25">
      <c r="A154" s="20" t="s">
        <v>380</v>
      </c>
      <c r="B154" s="21" t="str">
        <f>LEFT(TRIM(dataset_2025_11_17T13_30_33_170025752Z_DEFAULT_INTEGRATION_IMF_RES_PCPS_9_0_0[[#This Row],[TIME_PERIOD]]),4)</f>
        <v>2023</v>
      </c>
      <c r="C154" s="7" t="s">
        <v>492</v>
      </c>
      <c r="D154">
        <v>45.700483139420101</v>
      </c>
      <c r="E154" s="7">
        <v>150</v>
      </c>
      <c r="F154" s="7"/>
      <c r="G154" s="1">
        <f t="shared" si="21"/>
        <v>43.084131240151123</v>
      </c>
      <c r="H154" s="1">
        <f t="shared" si="22"/>
        <v>42.51632876056857</v>
      </c>
      <c r="I154" s="1">
        <f t="shared" si="23"/>
        <v>41.948526280986009</v>
      </c>
      <c r="J154" s="1"/>
      <c r="K154" s="32"/>
      <c r="L154" s="1">
        <f t="shared" si="18"/>
        <v>6.8452972608083851</v>
      </c>
      <c r="M154" s="1">
        <f t="shared" si="19"/>
        <v>10.138839108359379</v>
      </c>
      <c r="N154" s="1">
        <f t="shared" si="20"/>
        <v>14.077180267550618</v>
      </c>
    </row>
    <row r="155" spans="1:14" x14ac:dyDescent="0.25">
      <c r="A155" s="18" t="s">
        <v>381</v>
      </c>
      <c r="B155" s="19" t="str">
        <f>LEFT(TRIM(dataset_2025_11_17T13_30_33_170025752Z_DEFAULT_INTEGRATION_IMF_RES_PCPS_9_0_0[[#This Row],[TIME_PERIOD]]),4)</f>
        <v>2023</v>
      </c>
      <c r="C155" s="7" t="s">
        <v>493</v>
      </c>
      <c r="D155">
        <v>45.247533829149802</v>
      </c>
      <c r="E155" s="7">
        <v>151</v>
      </c>
      <c r="F155" s="7"/>
      <c r="G155" s="1">
        <f t="shared" si="21"/>
        <v>45.177212759566302</v>
      </c>
      <c r="H155" s="1">
        <f t="shared" si="22"/>
        <v>44.392307189785612</v>
      </c>
      <c r="I155" s="1">
        <f t="shared" si="23"/>
        <v>43.607401620004921</v>
      </c>
      <c r="J155" s="1"/>
      <c r="K155" s="32"/>
      <c r="L155" s="1">
        <f t="shared" si="18"/>
        <v>4.9450528273674074E-3</v>
      </c>
      <c r="M155" s="1">
        <f t="shared" si="19"/>
        <v>0.73141260467816638</v>
      </c>
      <c r="N155" s="1">
        <f t="shared" si="20"/>
        <v>2.6900336634744657</v>
      </c>
    </row>
    <row r="156" spans="1:14" x14ac:dyDescent="0.25">
      <c r="A156" s="20" t="s">
        <v>382</v>
      </c>
      <c r="B156" s="21" t="str">
        <f>LEFT(TRIM(dataset_2025_11_17T13_30_33_170025752Z_DEFAULT_INTEGRATION_IMF_RES_PCPS_9_0_0[[#This Row],[TIME_PERIOD]]),4)</f>
        <v>2023</v>
      </c>
      <c r="C156" s="7" t="s">
        <v>494</v>
      </c>
      <c r="D156">
        <v>46.377180986513103</v>
      </c>
      <c r="E156" s="7">
        <v>152</v>
      </c>
      <c r="F156" s="7"/>
      <c r="G156" s="1">
        <f t="shared" si="21"/>
        <v>45.233469615233105</v>
      </c>
      <c r="H156" s="1">
        <f t="shared" si="22"/>
        <v>45.212373294358052</v>
      </c>
      <c r="I156" s="1">
        <f t="shared" si="23"/>
        <v>45.191276973483006</v>
      </c>
      <c r="J156" s="1"/>
      <c r="K156" s="32"/>
      <c r="L156" s="1">
        <f t="shared" si="18"/>
        <v>1.3080757007951744</v>
      </c>
      <c r="M156" s="1">
        <f t="shared" si="19"/>
        <v>1.3567769597035766</v>
      </c>
      <c r="N156" s="1">
        <f t="shared" si="20"/>
        <v>1.4063683281208881</v>
      </c>
    </row>
    <row r="157" spans="1:14" x14ac:dyDescent="0.25">
      <c r="A157" s="18" t="s">
        <v>383</v>
      </c>
      <c r="B157" s="19" t="str">
        <f>LEFT(TRIM(dataset_2025_11_17T13_30_33_170025752Z_DEFAULT_INTEGRATION_IMF_RES_PCPS_9_0_0[[#This Row],[TIME_PERIOD]]),4)</f>
        <v>2023</v>
      </c>
      <c r="C157" s="7" t="s">
        <v>495</v>
      </c>
      <c r="D157">
        <v>53.202742485280297</v>
      </c>
      <c r="E157" s="7">
        <v>153</v>
      </c>
      <c r="F157" s="7"/>
      <c r="G157" s="1">
        <f t="shared" si="21"/>
        <v>46.148438712257104</v>
      </c>
      <c r="H157" s="1">
        <f t="shared" si="22"/>
        <v>45.805325300873108</v>
      </c>
      <c r="I157" s="1">
        <f t="shared" si="23"/>
        <v>45.462211889489105</v>
      </c>
      <c r="J157" s="1"/>
      <c r="K157" s="32"/>
      <c r="L157" s="1">
        <f t="shared" si="18"/>
        <v>49.763201722089256</v>
      </c>
      <c r="M157" s="1">
        <f t="shared" si="19"/>
        <v>54.721781000162785</v>
      </c>
      <c r="N157" s="1">
        <f t="shared" si="20"/>
        <v>59.915813904379547</v>
      </c>
    </row>
    <row r="158" spans="1:14" x14ac:dyDescent="0.25">
      <c r="A158" s="20" t="s">
        <v>384</v>
      </c>
      <c r="B158" s="21" t="str">
        <f>LEFT(TRIM(dataset_2025_11_17T13_30_33_170025752Z_DEFAULT_INTEGRATION_IMF_RES_PCPS_9_0_0[[#This Row],[TIME_PERIOD]]),4)</f>
        <v>2024</v>
      </c>
      <c r="C158" s="7" t="s">
        <v>496</v>
      </c>
      <c r="D158">
        <v>57.646413429303799</v>
      </c>
      <c r="E158" s="7">
        <v>154</v>
      </c>
      <c r="F158" s="7"/>
      <c r="G158" s="1">
        <f t="shared" si="21"/>
        <v>51.791881730675655</v>
      </c>
      <c r="H158" s="1">
        <f t="shared" si="22"/>
        <v>49.6755905987687</v>
      </c>
      <c r="I158" s="1">
        <f t="shared" si="23"/>
        <v>47.559299466861745</v>
      </c>
      <c r="J158" s="1"/>
      <c r="K158" s="32"/>
      <c r="L158" s="1">
        <f t="shared" si="18"/>
        <v>34.275541410241736</v>
      </c>
      <c r="M158" s="1">
        <f t="shared" si="19"/>
        <v>63.534016595779562</v>
      </c>
      <c r="N158" s="1">
        <f t="shared" si="20"/>
        <v>101.74986809129342</v>
      </c>
    </row>
    <row r="159" spans="1:14" x14ac:dyDescent="0.25">
      <c r="A159" s="18" t="s">
        <v>385</v>
      </c>
      <c r="B159" s="19" t="str">
        <f>LEFT(TRIM(dataset_2025_11_17T13_30_33_170025752Z_DEFAULT_INTEGRATION_IMF_RES_PCPS_9_0_0[[#This Row],[TIME_PERIOD]]),4)</f>
        <v>2024</v>
      </c>
      <c r="C159" s="7" t="s">
        <v>497</v>
      </c>
      <c r="D159">
        <v>62.285951981857501</v>
      </c>
      <c r="E159" s="7">
        <v>155</v>
      </c>
      <c r="F159" s="7"/>
      <c r="G159" s="1">
        <f t="shared" si="21"/>
        <v>56.475507089578173</v>
      </c>
      <c r="H159" s="1">
        <f t="shared" si="22"/>
        <v>54.719147579989723</v>
      </c>
      <c r="I159" s="1">
        <f t="shared" si="23"/>
        <v>52.962788070401281</v>
      </c>
      <c r="J159" s="1"/>
      <c r="K159" s="32"/>
      <c r="L159" s="1">
        <f t="shared" si="18"/>
        <v>33.761269846214937</v>
      </c>
      <c r="M159" s="1">
        <f t="shared" si="19"/>
        <v>57.256528856125577</v>
      </c>
      <c r="N159" s="1">
        <f t="shared" si="20"/>
        <v>86.921385319879647</v>
      </c>
    </row>
    <row r="160" spans="1:14" x14ac:dyDescent="0.25">
      <c r="A160" s="20" t="s">
        <v>386</v>
      </c>
      <c r="B160" s="21" t="str">
        <f>LEFT(TRIM(dataset_2025_11_17T13_30_33_170025752Z_DEFAULT_INTEGRATION_IMF_RES_PCPS_9_0_0[[#This Row],[TIME_PERIOD]]),4)</f>
        <v>2024</v>
      </c>
      <c r="C160" s="7" t="s">
        <v>498</v>
      </c>
      <c r="D160">
        <v>70.059704575973399</v>
      </c>
      <c r="E160" s="7">
        <v>156</v>
      </c>
      <c r="F160" s="7"/>
      <c r="G160" s="1">
        <f t="shared" si="21"/>
        <v>61.123863003401638</v>
      </c>
      <c r="H160" s="1">
        <f t="shared" si="22"/>
        <v>59.380729535717833</v>
      </c>
      <c r="I160" s="1">
        <f t="shared" si="23"/>
        <v>57.637596068034043</v>
      </c>
      <c r="J160" s="1"/>
      <c r="K160" s="32"/>
      <c r="L160" s="1">
        <f t="shared" si="18"/>
        <v>79.849264610101756</v>
      </c>
      <c r="M160" s="1">
        <f t="shared" si="19"/>
        <v>114.04050791040136</v>
      </c>
      <c r="N160" s="1">
        <f t="shared" si="20"/>
        <v>154.30877978301933</v>
      </c>
    </row>
    <row r="161" spans="1:14" x14ac:dyDescent="0.25">
      <c r="A161" s="18" t="s">
        <v>387</v>
      </c>
      <c r="B161" s="19" t="str">
        <f>LEFT(TRIM(dataset_2025_11_17T13_30_33_170025752Z_DEFAULT_INTEGRATION_IMF_RES_PCPS_9_0_0[[#This Row],[TIME_PERIOD]]),4)</f>
        <v>2024</v>
      </c>
      <c r="C161" s="7" t="s">
        <v>487</v>
      </c>
      <c r="D161">
        <v>80.363458455154102</v>
      </c>
      <c r="E161" s="7">
        <v>157</v>
      </c>
      <c r="F161" s="7"/>
      <c r="G161" s="1">
        <f t="shared" si="21"/>
        <v>68.272536261459052</v>
      </c>
      <c r="H161" s="1">
        <f t="shared" si="22"/>
        <v>65.591783789687526</v>
      </c>
      <c r="I161" s="1">
        <f t="shared" si="23"/>
        <v>62.911031317915992</v>
      </c>
      <c r="J161" s="1"/>
      <c r="K161" s="32"/>
      <c r="L161" s="1">
        <f t="shared" si="18"/>
        <v>146.19039949398751</v>
      </c>
      <c r="M161" s="1">
        <f t="shared" si="19"/>
        <v>218.2023724223871</v>
      </c>
      <c r="N161" s="1">
        <f t="shared" si="20"/>
        <v>304.58721298060522</v>
      </c>
    </row>
    <row r="162" spans="1:14" x14ac:dyDescent="0.25">
      <c r="A162" s="20" t="s">
        <v>388</v>
      </c>
      <c r="B162" s="21" t="str">
        <f>LEFT(TRIM(dataset_2025_11_17T13_30_33_170025752Z_DEFAULT_INTEGRATION_IMF_RES_PCPS_9_0_0[[#This Row],[TIME_PERIOD]]),4)</f>
        <v>2024</v>
      </c>
      <c r="C162" s="7" t="s">
        <v>488</v>
      </c>
      <c r="D162">
        <v>81.318200599111506</v>
      </c>
      <c r="E162" s="7">
        <v>158</v>
      </c>
      <c r="F162" s="7"/>
      <c r="G162" s="1">
        <f t="shared" si="21"/>
        <v>77.945274016415098</v>
      </c>
      <c r="H162" s="1">
        <f t="shared" si="22"/>
        <v>74.31799735830657</v>
      </c>
      <c r="I162" s="1">
        <f t="shared" si="23"/>
        <v>70.690720700198057</v>
      </c>
      <c r="J162" s="1"/>
      <c r="K162" s="32"/>
      <c r="L162" s="1">
        <f t="shared" si="18"/>
        <v>11.376633732260069</v>
      </c>
      <c r="M162" s="1">
        <f t="shared" si="19"/>
        <v>49.00284541257593</v>
      </c>
      <c r="N162" s="1">
        <f t="shared" si="20"/>
        <v>112.94332900180943</v>
      </c>
    </row>
    <row r="163" spans="1:14" x14ac:dyDescent="0.25">
      <c r="A163" s="18" t="s">
        <v>389</v>
      </c>
      <c r="B163" s="19" t="str">
        <f>LEFT(TRIM(dataset_2025_11_17T13_30_33_170025752Z_DEFAULT_INTEGRATION_IMF_RES_PCPS_9_0_0[[#This Row],[TIME_PERIOD]]),4)</f>
        <v>2024</v>
      </c>
      <c r="C163" s="7" t="s">
        <v>489</v>
      </c>
      <c r="D163">
        <v>71.814275384774206</v>
      </c>
      <c r="E163" s="7">
        <v>159</v>
      </c>
      <c r="F163" s="7"/>
      <c r="G163" s="1">
        <f t="shared" si="21"/>
        <v>80.643615282572227</v>
      </c>
      <c r="H163" s="1">
        <f t="shared" si="22"/>
        <v>79.631737307763302</v>
      </c>
      <c r="I163" s="1">
        <f t="shared" si="23"/>
        <v>78.619859332954377</v>
      </c>
      <c r="J163" s="1"/>
      <c r="K163" s="32"/>
      <c r="L163" s="1">
        <f t="shared" si="18"/>
        <v>77.957243030847977</v>
      </c>
      <c r="M163" s="1">
        <f t="shared" si="19"/>
        <v>61.112710917384383</v>
      </c>
      <c r="N163" s="1">
        <f t="shared" si="20"/>
        <v>46.31597287572761</v>
      </c>
    </row>
    <row r="164" spans="1:14" x14ac:dyDescent="0.25">
      <c r="A164" s="20" t="s">
        <v>390</v>
      </c>
      <c r="B164" s="21" t="str">
        <f>LEFT(TRIM(dataset_2025_11_17T13_30_33_170025752Z_DEFAULT_INTEGRATION_IMF_RES_PCPS_9_0_0[[#This Row],[TIME_PERIOD]]),4)</f>
        <v>2024</v>
      </c>
      <c r="C164" s="7" t="s">
        <v>490</v>
      </c>
      <c r="D164">
        <v>71.638853283375894</v>
      </c>
      <c r="E164" s="7">
        <v>160</v>
      </c>
      <c r="F164" s="7"/>
      <c r="G164" s="1">
        <f t="shared" si="21"/>
        <v>73.580143364333821</v>
      </c>
      <c r="H164" s="1">
        <f t="shared" si="22"/>
        <v>76.228945333673209</v>
      </c>
      <c r="I164" s="1">
        <f t="shared" si="23"/>
        <v>78.877747303012626</v>
      </c>
      <c r="J164" s="1"/>
      <c r="K164" s="32"/>
      <c r="L164" s="1">
        <f t="shared" si="18"/>
        <v>3.7686071784256345</v>
      </c>
      <c r="M164" s="1">
        <f t="shared" si="19"/>
        <v>21.06894503020261</v>
      </c>
      <c r="N164" s="1">
        <f t="shared" si="20"/>
        <v>52.401586627532438</v>
      </c>
    </row>
    <row r="165" spans="1:14" x14ac:dyDescent="0.25">
      <c r="A165" s="18" t="s">
        <v>391</v>
      </c>
      <c r="B165" s="19" t="str">
        <f>LEFT(TRIM(dataset_2025_11_17T13_30_33_170025752Z_DEFAULT_INTEGRATION_IMF_RES_PCPS_9_0_0[[#This Row],[TIME_PERIOD]]),4)</f>
        <v>2024</v>
      </c>
      <c r="C165" s="7" t="s">
        <v>491</v>
      </c>
      <c r="D165">
        <v>73.950190983683797</v>
      </c>
      <c r="E165" s="7">
        <v>161</v>
      </c>
      <c r="F165" s="7"/>
      <c r="G165" s="1">
        <f t="shared" si="21"/>
        <v>72.02711129956748</v>
      </c>
      <c r="H165" s="1">
        <f t="shared" si="22"/>
        <v>72.609498323854865</v>
      </c>
      <c r="I165" s="1">
        <f t="shared" si="23"/>
        <v>73.191885348142236</v>
      </c>
      <c r="J165" s="1"/>
      <c r="K165" s="32"/>
      <c r="L165" s="1">
        <f t="shared" si="18"/>
        <v>3.6982354714609134</v>
      </c>
      <c r="M165" s="1">
        <f t="shared" si="19"/>
        <v>1.7974568081191755</v>
      </c>
      <c r="N165" s="1">
        <f t="shared" si="20"/>
        <v>0.5750274368940903</v>
      </c>
    </row>
    <row r="166" spans="1:14" x14ac:dyDescent="0.25">
      <c r="A166" s="20" t="s">
        <v>392</v>
      </c>
      <c r="B166" s="21" t="str">
        <f>LEFT(TRIM(dataset_2025_11_17T13_30_33_170025752Z_DEFAULT_INTEGRATION_IMF_RES_PCPS_9_0_0[[#This Row],[TIME_PERIOD]]),4)</f>
        <v>2024</v>
      </c>
      <c r="C166" s="7" t="s">
        <v>492</v>
      </c>
      <c r="D166">
        <v>69.187228850325297</v>
      </c>
      <c r="E166" s="7">
        <v>162</v>
      </c>
      <c r="F166" s="7"/>
      <c r="G166" s="1">
        <f t="shared" si="21"/>
        <v>73.565575046860531</v>
      </c>
      <c r="H166" s="1">
        <f t="shared" si="22"/>
        <v>72.988651141625638</v>
      </c>
      <c r="I166" s="1">
        <f t="shared" si="23"/>
        <v>72.411727236390746</v>
      </c>
      <c r="J166" s="1"/>
      <c r="K166" s="32"/>
      <c r="L166" s="1">
        <f t="shared" ref="L166:L182" si="24">(G166-$D166)^2</f>
        <v>19.169915416714542</v>
      </c>
      <c r="M166" s="1">
        <f t="shared" ref="M166:M182" si="25">(H166-$D166)^2</f>
        <v>14.450811436795133</v>
      </c>
      <c r="N166" s="1">
        <f t="shared" ref="N166:N182" si="26">(I166-$D166)^2</f>
        <v>10.397389841738683</v>
      </c>
    </row>
    <row r="167" spans="1:14" x14ac:dyDescent="0.25">
      <c r="A167" s="18" t="s">
        <v>393</v>
      </c>
      <c r="B167" s="19" t="str">
        <f>LEFT(TRIM(dataset_2025_11_17T13_30_33_170025752Z_DEFAULT_INTEGRATION_IMF_RES_PCPS_9_0_0[[#This Row],[TIME_PERIOD]]),4)</f>
        <v>2024</v>
      </c>
      <c r="C167" s="7" t="s">
        <v>493</v>
      </c>
      <c r="D167">
        <v>68.251850891257007</v>
      </c>
      <c r="E167" s="7">
        <v>163</v>
      </c>
      <c r="F167" s="7"/>
      <c r="G167" s="1">
        <f t="shared" si="21"/>
        <v>70.062898089632341</v>
      </c>
      <c r="H167" s="1">
        <f t="shared" si="22"/>
        <v>71.376401948592914</v>
      </c>
      <c r="I167" s="1">
        <f t="shared" si="23"/>
        <v>72.689905807553487</v>
      </c>
      <c r="J167" s="1"/>
      <c r="K167" s="32"/>
      <c r="L167" s="1">
        <f t="shared" si="24"/>
        <v>3.2798919547431473</v>
      </c>
      <c r="M167" s="1">
        <f t="shared" si="25"/>
        <v>9.7628193098989335</v>
      </c>
      <c r="N167" s="1">
        <f t="shared" si="26"/>
        <v>19.696331440063354</v>
      </c>
    </row>
    <row r="168" spans="1:14" x14ac:dyDescent="0.25">
      <c r="A168" s="20" t="s">
        <v>394</v>
      </c>
      <c r="B168" s="21" t="str">
        <f>LEFT(TRIM(dataset_2025_11_17T13_30_33_170025752Z_DEFAULT_INTEGRATION_IMF_RES_PCPS_9_0_0[[#This Row],[TIME_PERIOD]]),4)</f>
        <v>2024</v>
      </c>
      <c r="C168" s="7" t="s">
        <v>494</v>
      </c>
      <c r="D168">
        <v>65.288503253795994</v>
      </c>
      <c r="E168" s="7">
        <v>164</v>
      </c>
      <c r="F168" s="7"/>
      <c r="G168" s="1">
        <f t="shared" si="21"/>
        <v>68.614060330932077</v>
      </c>
      <c r="H168" s="1">
        <f t="shared" si="22"/>
        <v>69.157374490444681</v>
      </c>
      <c r="I168" s="1">
        <f t="shared" si="23"/>
        <v>69.700688649957272</v>
      </c>
      <c r="J168" s="1"/>
      <c r="K168" s="32"/>
      <c r="L168" s="1">
        <f t="shared" si="24"/>
        <v>11.059329873289883</v>
      </c>
      <c r="M168" s="1">
        <f t="shared" si="25"/>
        <v>14.968164645767539</v>
      </c>
      <c r="N168" s="1">
        <f t="shared" si="26"/>
        <v>19.467379970098847</v>
      </c>
    </row>
    <row r="169" spans="1:14" x14ac:dyDescent="0.25">
      <c r="A169" s="18" t="s">
        <v>395</v>
      </c>
      <c r="B169" s="19" t="str">
        <f>LEFT(TRIM(dataset_2025_11_17T13_30_33_170025752Z_DEFAULT_INTEGRATION_IMF_RES_PCPS_9_0_0[[#This Row],[TIME_PERIOD]]),4)</f>
        <v>2024</v>
      </c>
      <c r="C169" s="7" t="s">
        <v>495</v>
      </c>
      <c r="D169">
        <v>64.630539200495704</v>
      </c>
      <c r="E169" s="7">
        <v>165</v>
      </c>
      <c r="F169" s="7"/>
      <c r="G169" s="1">
        <f t="shared" si="21"/>
        <v>65.953614669223214</v>
      </c>
      <c r="H169" s="1">
        <f t="shared" si="22"/>
        <v>66.951281792364028</v>
      </c>
      <c r="I169" s="1">
        <f t="shared" si="23"/>
        <v>67.948948915504857</v>
      </c>
      <c r="J169" s="1"/>
      <c r="K169" s="32"/>
      <c r="L169" s="1">
        <f t="shared" si="24"/>
        <v>1.7505286959485189</v>
      </c>
      <c r="M169" s="1">
        <f t="shared" si="25"/>
        <v>5.3858461777117075</v>
      </c>
      <c r="N169" s="1">
        <f t="shared" si="26"/>
        <v>11.011843036667129</v>
      </c>
    </row>
    <row r="170" spans="1:14" x14ac:dyDescent="0.25">
      <c r="A170" s="20" t="s">
        <v>396</v>
      </c>
      <c r="B170" s="21" t="str">
        <f>LEFT(TRIM(dataset_2025_11_17T13_30_33_170025752Z_DEFAULT_INTEGRATION_IMF_RES_PCPS_9_0_0[[#This Row],[TIME_PERIOD]]),4)</f>
        <v>2025</v>
      </c>
      <c r="C170" s="7" t="s">
        <v>496</v>
      </c>
      <c r="D170">
        <v>66.511081769310394</v>
      </c>
      <c r="E170" s="7">
        <v>166</v>
      </c>
      <c r="F170" s="7"/>
      <c r="G170" s="1">
        <f t="shared" si="21"/>
        <v>64.895154294241209</v>
      </c>
      <c r="H170" s="1">
        <f t="shared" si="22"/>
        <v>65.292076934859466</v>
      </c>
      <c r="I170" s="1">
        <f t="shared" si="23"/>
        <v>65.688999575477709</v>
      </c>
      <c r="J170" s="1"/>
      <c r="K170" s="32"/>
      <c r="L170" s="1">
        <f t="shared" si="24"/>
        <v>2.6112216046834713</v>
      </c>
      <c r="M170" s="1">
        <f t="shared" si="25"/>
        <v>1.4859727864147341</v>
      </c>
      <c r="N170" s="1">
        <f t="shared" si="26"/>
        <v>0.67581913341676025</v>
      </c>
    </row>
    <row r="171" spans="1:14" x14ac:dyDescent="0.25">
      <c r="A171" s="18" t="s">
        <v>397</v>
      </c>
      <c r="B171" s="19" t="str">
        <f>LEFT(TRIM(dataset_2025_11_17T13_30_33_170025752Z_DEFAULT_INTEGRATION_IMF_RES_PCPS_9_0_0[[#This Row],[TIME_PERIOD]]),4)</f>
        <v>2025</v>
      </c>
      <c r="C171" s="7" t="s">
        <v>497</v>
      </c>
      <c r="D171">
        <v>63.158777502324</v>
      </c>
      <c r="E171" s="7">
        <v>167</v>
      </c>
      <c r="F171" s="7"/>
      <c r="G171" s="1">
        <f t="shared" si="21"/>
        <v>66.187896274296563</v>
      </c>
      <c r="H171" s="1">
        <f t="shared" si="22"/>
        <v>65.703118031775801</v>
      </c>
      <c r="I171" s="1">
        <f t="shared" si="23"/>
        <v>65.21833978925504</v>
      </c>
      <c r="J171" s="1"/>
      <c r="K171" s="32"/>
      <c r="L171" s="1">
        <f t="shared" si="24"/>
        <v>9.175560534716567</v>
      </c>
      <c r="M171" s="1">
        <f t="shared" si="25"/>
        <v>6.4736687298110738</v>
      </c>
      <c r="N171" s="1">
        <f t="shared" si="26"/>
        <v>4.2417968137486168</v>
      </c>
    </row>
    <row r="172" spans="1:14" x14ac:dyDescent="0.25">
      <c r="A172" s="20" t="s">
        <v>398</v>
      </c>
      <c r="B172" s="21" t="str">
        <f>LEFT(TRIM(dataset_2025_11_17T13_30_33_170025752Z_DEFAULT_INTEGRATION_IMF_RES_PCPS_9_0_0[[#This Row],[TIME_PERIOD]]),4)</f>
        <v>2025</v>
      </c>
      <c r="C172" s="7" t="s">
        <v>498</v>
      </c>
      <c r="D172">
        <v>60.219976336028303</v>
      </c>
      <c r="E172" s="7">
        <v>168</v>
      </c>
      <c r="F172" s="7"/>
      <c r="G172" s="1">
        <f t="shared" si="21"/>
        <v>63.764601256718514</v>
      </c>
      <c r="H172" s="1">
        <f t="shared" si="22"/>
        <v>64.673336888310274</v>
      </c>
      <c r="I172" s="1">
        <f t="shared" si="23"/>
        <v>65.582072519902042</v>
      </c>
      <c r="J172" s="1"/>
      <c r="K172" s="32"/>
      <c r="L172" s="1">
        <f t="shared" si="24"/>
        <v>12.564365828378085</v>
      </c>
      <c r="M172" s="1">
        <f t="shared" si="25"/>
        <v>19.832420208621183</v>
      </c>
      <c r="N172" s="1">
        <f t="shared" si="26"/>
        <v>28.752075485113309</v>
      </c>
    </row>
    <row r="173" spans="1:14" x14ac:dyDescent="0.25">
      <c r="A173" s="18" t="s">
        <v>399</v>
      </c>
      <c r="B173" s="19" t="str">
        <f>LEFT(TRIM(dataset_2025_11_17T13_30_33_170025752Z_DEFAULT_INTEGRATION_IMF_RES_PCPS_9_0_0[[#This Row],[TIME_PERIOD]]),4)</f>
        <v>2025</v>
      </c>
      <c r="C173" s="7" t="s">
        <v>487</v>
      </c>
      <c r="D173">
        <v>58.9595515420163</v>
      </c>
      <c r="E173" s="7">
        <v>169</v>
      </c>
      <c r="F173" s="7"/>
      <c r="G173" s="1">
        <f t="shared" si="21"/>
        <v>60.928901320166347</v>
      </c>
      <c r="H173" s="1">
        <f t="shared" si="22"/>
        <v>61.992288796373408</v>
      </c>
      <c r="I173" s="1">
        <f t="shared" si="23"/>
        <v>63.05567627258047</v>
      </c>
      <c r="J173" s="1"/>
      <c r="K173" s="32"/>
      <c r="L173" s="1">
        <f t="shared" si="24"/>
        <v>3.8783385486996389</v>
      </c>
      <c r="M173" s="1">
        <f t="shared" si="25"/>
        <v>9.1974952539654939</v>
      </c>
      <c r="N173" s="1">
        <f t="shared" si="26"/>
        <v>16.778237808339398</v>
      </c>
    </row>
    <row r="174" spans="1:14" x14ac:dyDescent="0.25">
      <c r="A174" s="20" t="s">
        <v>400</v>
      </c>
      <c r="B174" s="21" t="str">
        <f>LEFT(TRIM(dataset_2025_11_17T13_30_33_170025752Z_DEFAULT_INTEGRATION_IMF_RES_PCPS_9_0_0[[#This Row],[TIME_PERIOD]]),4)</f>
        <v>2025</v>
      </c>
      <c r="C174" s="7" t="s">
        <v>488</v>
      </c>
      <c r="D174">
        <v>54.315509761388199</v>
      </c>
      <c r="E174" s="7">
        <v>170</v>
      </c>
      <c r="F174" s="7"/>
      <c r="G174" s="1">
        <f t="shared" si="21"/>
        <v>59.353421497646309</v>
      </c>
      <c r="H174" s="1">
        <f t="shared" si="22"/>
        <v>59.944226431091323</v>
      </c>
      <c r="I174" s="1">
        <f t="shared" si="23"/>
        <v>60.535031364536337</v>
      </c>
      <c r="J174" s="1"/>
      <c r="K174" s="32"/>
      <c r="L174" s="1">
        <f t="shared" si="24"/>
        <v>25.380554662327203</v>
      </c>
      <c r="M174" s="1">
        <f t="shared" si="25"/>
        <v>31.682451347793826</v>
      </c>
      <c r="N174" s="1">
        <f t="shared" si="26"/>
        <v>38.682448972026386</v>
      </c>
    </row>
    <row r="175" spans="1:14" x14ac:dyDescent="0.25">
      <c r="A175" s="18" t="s">
        <v>401</v>
      </c>
      <c r="B175" s="19" t="str">
        <f>LEFT(TRIM(dataset_2025_11_17T13_30_33_170025752Z_DEFAULT_INTEGRATION_IMF_RES_PCPS_9_0_0[[#This Row],[TIME_PERIOD]]),4)</f>
        <v>2025</v>
      </c>
      <c r="C175" s="7" t="s">
        <v>489</v>
      </c>
      <c r="D175">
        <v>51.834869848156103</v>
      </c>
      <c r="E175" s="7">
        <v>171</v>
      </c>
      <c r="F175" s="7"/>
      <c r="G175" s="1">
        <f t="shared" si="21"/>
        <v>55.323092108639827</v>
      </c>
      <c r="H175" s="1">
        <f t="shared" si="22"/>
        <v>56.834465629517254</v>
      </c>
      <c r="I175" s="1">
        <f t="shared" si="23"/>
        <v>58.345839150394688</v>
      </c>
      <c r="J175" s="1"/>
      <c r="K175" s="32"/>
      <c r="L175" s="1">
        <f t="shared" si="24"/>
        <v>12.16769453853418</v>
      </c>
      <c r="M175" s="1">
        <f t="shared" si="25"/>
        <v>24.99595797700422</v>
      </c>
      <c r="N175" s="1">
        <f t="shared" si="26"/>
        <v>42.392721254693214</v>
      </c>
    </row>
    <row r="176" spans="1:14" x14ac:dyDescent="0.25">
      <c r="A176" s="20" t="s">
        <v>402</v>
      </c>
      <c r="B176" s="21" t="str">
        <f>LEFT(TRIM(dataset_2025_11_17T13_30_33_170025752Z_DEFAULT_INTEGRATION_IMF_RES_PCPS_9_0_0[[#This Row],[TIME_PERIOD]]),4)</f>
        <v>2025</v>
      </c>
      <c r="C176" s="7" t="s">
        <v>490</v>
      </c>
      <c r="D176">
        <v>52.685133602839599</v>
      </c>
      <c r="E176" s="7">
        <v>172</v>
      </c>
      <c r="F176" s="7"/>
      <c r="G176" s="1">
        <f t="shared" si="21"/>
        <v>52.532514300252849</v>
      </c>
      <c r="H176" s="1">
        <f t="shared" si="22"/>
        <v>53.578980978397965</v>
      </c>
      <c r="I176" s="1">
        <f t="shared" si="23"/>
        <v>54.625447656543081</v>
      </c>
      <c r="J176" s="1"/>
      <c r="K176" s="32"/>
      <c r="L176" s="1">
        <f t="shared" si="24"/>
        <v>2.3292651522065937E-2</v>
      </c>
      <c r="M176" s="1">
        <f t="shared" si="25"/>
        <v>0.79896313079257819</v>
      </c>
      <c r="N176" s="1">
        <f t="shared" si="26"/>
        <v>3.764818626999237</v>
      </c>
    </row>
    <row r="177" spans="1:14" x14ac:dyDescent="0.25">
      <c r="A177" s="18" t="s">
        <v>403</v>
      </c>
      <c r="B177" s="19" t="str">
        <f>LEFT(TRIM(dataset_2025_11_17T13_30_33_170025752Z_DEFAULT_INTEGRATION_IMF_RES_PCPS_9_0_0[[#This Row],[TIME_PERIOD]]),4)</f>
        <v>2025</v>
      </c>
      <c r="C177" s="7" t="s">
        <v>491</v>
      </c>
      <c r="D177">
        <v>57.305573358311896</v>
      </c>
      <c r="E177" s="7">
        <v>173</v>
      </c>
      <c r="F177" s="7"/>
      <c r="G177" s="1">
        <f t="shared" si="21"/>
        <v>52.654609742322251</v>
      </c>
      <c r="H177" s="1">
        <f t="shared" si="22"/>
        <v>52.608823951546228</v>
      </c>
      <c r="I177" s="1">
        <f t="shared" si="23"/>
        <v>52.563038160770198</v>
      </c>
      <c r="J177" s="1"/>
      <c r="K177" s="32"/>
      <c r="L177" s="1">
        <f t="shared" si="24"/>
        <v>21.631462557259482</v>
      </c>
      <c r="M177" s="1">
        <f t="shared" si="25"/>
        <v>22.059454989953661</v>
      </c>
      <c r="N177" s="1">
        <f t="shared" si="26"/>
        <v>22.491640099921881</v>
      </c>
    </row>
    <row r="178" spans="1:14" x14ac:dyDescent="0.25">
      <c r="A178" s="20" t="s">
        <v>404</v>
      </c>
      <c r="B178" s="21" t="str">
        <f>LEFT(TRIM(dataset_2025_11_17T13_30_33_170025752Z_DEFAULT_INTEGRATION_IMF_RES_PCPS_9_0_0[[#This Row],[TIME_PERIOD]]),4)</f>
        <v>2025</v>
      </c>
      <c r="C178" s="7" t="s">
        <v>492</v>
      </c>
      <c r="D178">
        <v>59.576528767689197</v>
      </c>
      <c r="E178" s="7">
        <v>174</v>
      </c>
      <c r="F178" s="7"/>
      <c r="G178" s="1">
        <f t="shared" si="21"/>
        <v>56.37538063511397</v>
      </c>
      <c r="H178" s="1">
        <f t="shared" si="22"/>
        <v>54.98009155031707</v>
      </c>
      <c r="I178" s="1">
        <f t="shared" si="23"/>
        <v>53.584802465520184</v>
      </c>
      <c r="J178" s="1"/>
      <c r="K178" s="32"/>
      <c r="L178" s="1">
        <f t="shared" si="24"/>
        <v>10.247349366689864</v>
      </c>
      <c r="M178" s="1">
        <f t="shared" si="25"/>
        <v>21.127235093243623</v>
      </c>
      <c r="N178" s="1">
        <f t="shared" si="26"/>
        <v>35.900784080103961</v>
      </c>
    </row>
    <row r="179" spans="1:14" x14ac:dyDescent="0.25">
      <c r="A179" s="18" t="s">
        <v>405</v>
      </c>
      <c r="B179" s="19" t="str">
        <f>LEFT(TRIM(dataset_2025_11_17T13_30_33_170025752Z_DEFAULT_INTEGRATION_IMF_RES_PCPS_9_0_0[[#This Row],[TIME_PERIOD]]),4)</f>
        <v>2025</v>
      </c>
      <c r="C179" s="7" t="s">
        <v>493</v>
      </c>
      <c r="D179">
        <v>58.9472554937281</v>
      </c>
      <c r="E179" s="7">
        <v>175</v>
      </c>
      <c r="F179" s="7"/>
      <c r="G179" s="1">
        <f t="shared" si="21"/>
        <v>58.936299141174153</v>
      </c>
      <c r="H179" s="1">
        <f t="shared" si="22"/>
        <v>57.975954701401584</v>
      </c>
      <c r="I179" s="1">
        <f t="shared" si="23"/>
        <v>57.015610261629014</v>
      </c>
      <c r="J179" s="1"/>
      <c r="K179" s="32"/>
      <c r="L179" s="1">
        <f t="shared" si="24"/>
        <v>1.2004166128638342E-4</v>
      </c>
      <c r="M179" s="1">
        <f t="shared" si="25"/>
        <v>0.94342522917411908</v>
      </c>
      <c r="N179" s="1">
        <f t="shared" si="26"/>
        <v>3.7312533026911328</v>
      </c>
    </row>
    <row r="180" spans="1:14" x14ac:dyDescent="0.25">
      <c r="A180" s="20" t="s">
        <v>406</v>
      </c>
      <c r="B180" s="24">
        <v>2025</v>
      </c>
      <c r="C180" s="7" t="s">
        <v>494</v>
      </c>
      <c r="D180">
        <v>58.966661501910799</v>
      </c>
      <c r="E180" s="7">
        <v>176</v>
      </c>
      <c r="F180" s="7"/>
      <c r="G180" s="1">
        <f t="shared" si="21"/>
        <v>58.945064223217315</v>
      </c>
      <c r="H180" s="1">
        <f t="shared" si="22"/>
        <v>58.941777317451127</v>
      </c>
      <c r="I180" s="1">
        <f t="shared" si="23"/>
        <v>58.938490411684938</v>
      </c>
      <c r="J180" s="1"/>
      <c r="K180" s="32"/>
      <c r="L180" s="1">
        <f t="shared" si="24"/>
        <v>4.6644244696402473E-4</v>
      </c>
      <c r="M180" s="1">
        <f t="shared" si="25"/>
        <v>6.1922263622300907E-4</v>
      </c>
      <c r="N180" s="1">
        <f t="shared" si="26"/>
        <v>7.9361032451359843E-4</v>
      </c>
    </row>
    <row r="181" spans="1:14" x14ac:dyDescent="0.25">
      <c r="A181" s="18" t="s">
        <v>407</v>
      </c>
      <c r="B181" s="24">
        <v>2025</v>
      </c>
      <c r="C181" s="7" t="s">
        <v>495</v>
      </c>
      <c r="D181">
        <v>62.875443699467397</v>
      </c>
      <c r="E181" s="7">
        <v>177</v>
      </c>
      <c r="F181" s="7"/>
      <c r="G181" s="1">
        <f t="shared" si="21"/>
        <v>58.962342046172111</v>
      </c>
      <c r="H181" s="1">
        <f t="shared" si="22"/>
        <v>58.955862862564061</v>
      </c>
      <c r="I181" s="1">
        <f t="shared" si="23"/>
        <v>58.949383678956011</v>
      </c>
      <c r="J181" s="1"/>
      <c r="K181" s="32"/>
      <c r="L181" s="1">
        <f t="shared" si="24"/>
        <v>15.312364549022297</v>
      </c>
      <c r="M181" s="1">
        <f t="shared" si="25"/>
        <v>15.363113937019854</v>
      </c>
      <c r="N181" s="1">
        <f t="shared" si="26"/>
        <v>15.413947284657866</v>
      </c>
    </row>
    <row r="182" spans="1:14" x14ac:dyDescent="0.25">
      <c r="A182" s="20" t="s">
        <v>408</v>
      </c>
      <c r="B182" s="24">
        <v>2025</v>
      </c>
      <c r="C182" s="7" t="s">
        <v>496</v>
      </c>
      <c r="D182">
        <v>63.958773460341298</v>
      </c>
      <c r="E182" s="7">
        <v>178</v>
      </c>
      <c r="F182" s="7"/>
      <c r="G182" s="1">
        <f t="shared" si="21"/>
        <v>62.092823368808347</v>
      </c>
      <c r="H182" s="1">
        <f t="shared" si="22"/>
        <v>60.918892872819754</v>
      </c>
      <c r="I182" s="1">
        <f t="shared" si="23"/>
        <v>59.744962376831168</v>
      </c>
      <c r="J182" s="1"/>
      <c r="K182" s="32"/>
      <c r="L182" s="1">
        <f t="shared" si="24"/>
        <v>3.4817697440918307</v>
      </c>
      <c r="M182" s="1">
        <f t="shared" si="25"/>
        <v>9.24087398639033</v>
      </c>
      <c r="N182" s="1">
        <f t="shared" si="26"/>
        <v>17.756203847512818</v>
      </c>
    </row>
    <row r="183" spans="1:14" x14ac:dyDescent="0.25">
      <c r="C183" s="7"/>
      <c r="E183" s="7"/>
      <c r="F183" s="7"/>
    </row>
    <row r="184" spans="1:14" ht="26.25" x14ac:dyDescent="0.25">
      <c r="C184" s="7"/>
      <c r="E184" s="7"/>
      <c r="F184" s="7"/>
      <c r="K184" s="25" t="s">
        <v>499</v>
      </c>
      <c r="L184" s="33">
        <f>SUM(L6:L182)</f>
        <v>1479.4630413010473</v>
      </c>
      <c r="M184" s="26">
        <f>SUM(M6:M182)</f>
        <v>1936.5691740264283</v>
      </c>
      <c r="N184" s="26">
        <f>SUM(N6:N182)</f>
        <v>2659.3519356320598</v>
      </c>
    </row>
  </sheetData>
  <mergeCells count="4">
    <mergeCell ref="G1:I1"/>
    <mergeCell ref="K2:N2"/>
    <mergeCell ref="P2:Q2"/>
    <mergeCell ref="P1:Q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C61A-F455-44FA-82BE-1A9BB0E8883A}">
  <dimension ref="A1:O211"/>
  <sheetViews>
    <sheetView zoomScale="70" zoomScaleNormal="70" workbookViewId="0">
      <selection activeCell="J6" sqref="J6"/>
    </sheetView>
  </sheetViews>
  <sheetFormatPr baseColWidth="10" defaultRowHeight="15" x14ac:dyDescent="0.25"/>
  <cols>
    <col min="1" max="1" width="13.140625" bestFit="1" customWidth="1"/>
    <col min="2" max="2" width="5.42578125" bestFit="1" customWidth="1"/>
    <col min="3" max="3" width="3.85546875" bestFit="1" customWidth="1"/>
    <col min="4" max="4" width="5.85546875" bestFit="1" customWidth="1"/>
    <col min="5" max="5" width="21.5703125" bestFit="1" customWidth="1"/>
    <col min="6" max="6" width="11.42578125" bestFit="1" customWidth="1"/>
    <col min="7" max="7" width="9.42578125" bestFit="1" customWidth="1"/>
    <col min="8" max="8" width="9.85546875" bestFit="1" customWidth="1"/>
    <col min="9" max="9" width="21.42578125" bestFit="1" customWidth="1"/>
    <col min="10" max="10" width="29.42578125" bestFit="1" customWidth="1"/>
    <col min="11" max="11" width="25.85546875" bestFit="1" customWidth="1"/>
    <col min="12" max="12" width="23.7109375" bestFit="1" customWidth="1"/>
    <col min="13" max="13" width="21.5703125" bestFit="1" customWidth="1"/>
    <col min="14" max="14" width="24.7109375" bestFit="1" customWidth="1"/>
  </cols>
  <sheetData>
    <row r="1" spans="1:15" ht="33" customHeight="1" x14ac:dyDescent="0.25">
      <c r="E1" s="48" t="s">
        <v>500</v>
      </c>
      <c r="F1" s="49"/>
      <c r="G1" s="49"/>
      <c r="H1" s="49"/>
      <c r="I1" s="48" t="s">
        <v>501</v>
      </c>
      <c r="J1" s="48" t="s">
        <v>502</v>
      </c>
      <c r="K1" s="48" t="s">
        <v>503</v>
      </c>
      <c r="L1" s="48" t="s">
        <v>504</v>
      </c>
      <c r="M1" s="48" t="s">
        <v>505</v>
      </c>
      <c r="N1" s="48" t="s">
        <v>506</v>
      </c>
    </row>
    <row r="2" spans="1:15" ht="30" x14ac:dyDescent="0.25">
      <c r="A2" s="35" t="s">
        <v>0</v>
      </c>
      <c r="B2" s="35" t="s">
        <v>1</v>
      </c>
      <c r="C2" s="35" t="s">
        <v>2</v>
      </c>
      <c r="D2" s="35" t="s">
        <v>454</v>
      </c>
      <c r="E2" s="35" t="s">
        <v>455</v>
      </c>
      <c r="F2" s="35" t="s">
        <v>507</v>
      </c>
      <c r="G2" s="35" t="s">
        <v>456</v>
      </c>
      <c r="H2" s="35" t="s">
        <v>439</v>
      </c>
      <c r="I2" s="36" t="s">
        <v>508</v>
      </c>
      <c r="J2" s="36" t="s">
        <v>509</v>
      </c>
      <c r="K2" s="37" t="s">
        <v>510</v>
      </c>
      <c r="L2" s="35" t="s">
        <v>511</v>
      </c>
      <c r="M2" s="37" t="s">
        <v>512</v>
      </c>
      <c r="N2" s="35" t="s">
        <v>507</v>
      </c>
    </row>
    <row r="3" spans="1:15" x14ac:dyDescent="0.25">
      <c r="A3" s="38" t="s">
        <v>231</v>
      </c>
      <c r="B3" s="39">
        <v>63.875</v>
      </c>
      <c r="C3" s="40">
        <v>1</v>
      </c>
      <c r="D3" s="40">
        <f>C3^2</f>
        <v>1</v>
      </c>
      <c r="E3" s="39">
        <v>32.532585137777346</v>
      </c>
      <c r="F3" s="39">
        <v>982.3469693956755</v>
      </c>
      <c r="G3" s="39">
        <v>603.54222242858623</v>
      </c>
      <c r="H3" s="39">
        <v>45.904941119011973</v>
      </c>
      <c r="I3" s="39">
        <f>B3-E3</f>
        <v>31.342414862222654</v>
      </c>
      <c r="J3" s="39">
        <f>AVERAGE(I3,I15,I27,I39,I51,I63,I75,I87,I99,I111,I123,I135,I147,I159,I171)</f>
        <v>1.8112585460347563</v>
      </c>
      <c r="K3" s="1">
        <f>J3-I184</f>
        <v>1.8112585460347383</v>
      </c>
      <c r="L3" s="1">
        <f>B3-K3</f>
        <v>62.063741453965264</v>
      </c>
      <c r="M3" s="1">
        <f>E3+K3</f>
        <v>34.343843683812082</v>
      </c>
      <c r="N3" s="1">
        <f>(B3-M3)^2</f>
        <v>872.08919337112559</v>
      </c>
      <c r="O3" s="41"/>
    </row>
    <row r="4" spans="1:15" x14ac:dyDescent="0.25">
      <c r="A4" s="41" t="s">
        <v>232</v>
      </c>
      <c r="B4" s="1">
        <v>65</v>
      </c>
      <c r="C4">
        <v>2</v>
      </c>
      <c r="D4">
        <f t="shared" ref="D4:D67" si="0">C4^2</f>
        <v>4</v>
      </c>
      <c r="E4" s="1">
        <v>32.534493767814048</v>
      </c>
      <c r="F4" s="1">
        <v>1054.009094912105</v>
      </c>
      <c r="G4" s="1">
        <v>660.08381418670569</v>
      </c>
      <c r="H4" s="1">
        <v>45.879081608989438</v>
      </c>
      <c r="I4" s="1">
        <f t="shared" ref="I4:I67" si="1">B4-E4</f>
        <v>32.465506232185952</v>
      </c>
      <c r="J4" s="1">
        <f t="shared" ref="J4:J13" si="2">AVERAGE(I4,I16,I28,I40,I52,I64,I76,I88,I100,I112,I124,I136,I148,I160,I172)</f>
        <v>1.7118881857449326</v>
      </c>
      <c r="K4" s="1">
        <f t="shared" ref="K4:K67" si="3">J4-I185</f>
        <v>1.7118881857449326</v>
      </c>
      <c r="L4" s="1">
        <f t="shared" ref="L4:L67" si="4">B4-K4</f>
        <v>63.288111814255068</v>
      </c>
      <c r="M4" s="1">
        <f t="shared" ref="M4:M67" si="5">E4+K4</f>
        <v>34.246381953558981</v>
      </c>
      <c r="N4" s="1">
        <f t="shared" ref="N4:N67" si="6">(B4-M4)^2</f>
        <v>945.7850229463827</v>
      </c>
      <c r="O4" s="41"/>
    </row>
    <row r="5" spans="1:15" x14ac:dyDescent="0.25">
      <c r="A5" s="41" t="s">
        <v>233</v>
      </c>
      <c r="B5" s="1">
        <v>63.5</v>
      </c>
      <c r="C5">
        <v>3</v>
      </c>
      <c r="D5">
        <f t="shared" si="0"/>
        <v>9</v>
      </c>
      <c r="E5" s="1">
        <v>32.537674817875214</v>
      </c>
      <c r="F5" s="1">
        <v>958.66558068363872</v>
      </c>
      <c r="G5" s="1">
        <v>585.25752517587978</v>
      </c>
      <c r="H5" s="1">
        <v>45.835998616145801</v>
      </c>
      <c r="I5" s="1">
        <f t="shared" si="1"/>
        <v>30.962325182124786</v>
      </c>
      <c r="J5" s="1">
        <f t="shared" si="2"/>
        <v>0.78712307023048333</v>
      </c>
      <c r="K5" s="1">
        <f t="shared" si="3"/>
        <v>0.78712307023048333</v>
      </c>
      <c r="L5" s="1">
        <f t="shared" si="4"/>
        <v>62.712876929769514</v>
      </c>
      <c r="M5" s="1">
        <f t="shared" si="5"/>
        <v>33.324797888105699</v>
      </c>
      <c r="N5" s="1">
        <f t="shared" si="6"/>
        <v>910.5428224936702</v>
      </c>
      <c r="O5" s="41"/>
    </row>
    <row r="6" spans="1:15" x14ac:dyDescent="0.25">
      <c r="A6" s="41" t="s">
        <v>234</v>
      </c>
      <c r="B6" s="1">
        <v>57.821428571428598</v>
      </c>
      <c r="C6">
        <v>4</v>
      </c>
      <c r="D6">
        <f t="shared" si="0"/>
        <v>16</v>
      </c>
      <c r="E6" s="1">
        <v>32.54212828796085</v>
      </c>
      <c r="F6" s="1">
        <v>639.04302282173262</v>
      </c>
      <c r="G6" s="1">
        <v>342.75060453285647</v>
      </c>
      <c r="H6" s="1">
        <v>45.775716426271742</v>
      </c>
      <c r="I6" s="1">
        <f t="shared" si="1"/>
        <v>25.279300283467748</v>
      </c>
      <c r="J6" s="1">
        <f t="shared" si="2"/>
        <v>0.44727471415567188</v>
      </c>
      <c r="K6" s="1">
        <f t="shared" si="3"/>
        <v>0.44727471415567188</v>
      </c>
      <c r="L6" s="1">
        <f t="shared" si="4"/>
        <v>57.374153857272923</v>
      </c>
      <c r="M6" s="1">
        <f t="shared" si="5"/>
        <v>32.989403002116525</v>
      </c>
      <c r="N6" s="1">
        <f t="shared" si="6"/>
        <v>616.6294938749686</v>
      </c>
      <c r="O6" s="41"/>
    </row>
    <row r="7" spans="1:15" x14ac:dyDescent="0.25">
      <c r="A7" s="41" t="s">
        <v>235</v>
      </c>
      <c r="B7" s="1">
        <v>56.0625</v>
      </c>
      <c r="C7">
        <v>5</v>
      </c>
      <c r="D7">
        <f t="shared" si="0"/>
        <v>25</v>
      </c>
      <c r="E7" s="1">
        <v>32.547854178070949</v>
      </c>
      <c r="F7" s="1">
        <v>552.93856813076536</v>
      </c>
      <c r="G7" s="1">
        <v>280.71649841386841</v>
      </c>
      <c r="H7" s="1">
        <v>45.698269039474447</v>
      </c>
      <c r="I7" s="1">
        <f t="shared" si="1"/>
        <v>23.514645821929051</v>
      </c>
      <c r="J7" s="1">
        <f t="shared" si="2"/>
        <v>-5.3186412544197974E-2</v>
      </c>
      <c r="K7" s="1">
        <f t="shared" si="3"/>
        <v>-5.3186412544197974E-2</v>
      </c>
      <c r="L7" s="1">
        <f t="shared" si="4"/>
        <v>56.1156864125442</v>
      </c>
      <c r="M7" s="1">
        <f t="shared" si="5"/>
        <v>32.494667765526749</v>
      </c>
      <c r="N7" s="1">
        <f t="shared" si="6"/>
        <v>555.44271623227644</v>
      </c>
      <c r="O7" s="41"/>
    </row>
    <row r="8" spans="1:15" x14ac:dyDescent="0.25">
      <c r="A8" s="41" t="s">
        <v>236</v>
      </c>
      <c r="B8" s="1">
        <v>55.4</v>
      </c>
      <c r="C8">
        <v>6</v>
      </c>
      <c r="D8">
        <f t="shared" si="0"/>
        <v>36</v>
      </c>
      <c r="E8" s="1">
        <v>32.554852488205519</v>
      </c>
      <c r="F8" s="1">
        <v>521.90076483564951</v>
      </c>
      <c r="G8" s="1">
        <v>258.95556451742027</v>
      </c>
      <c r="H8" s="1">
        <v>45.603700170177234</v>
      </c>
      <c r="I8" s="1">
        <f t="shared" si="1"/>
        <v>22.84514751179448</v>
      </c>
      <c r="J8" s="1">
        <f t="shared" si="2"/>
        <v>-0.38758612468901388</v>
      </c>
      <c r="K8" s="1">
        <f t="shared" si="3"/>
        <v>-0.38758612468901388</v>
      </c>
      <c r="L8" s="1">
        <f t="shared" si="4"/>
        <v>55.787586124689014</v>
      </c>
      <c r="M8" s="1">
        <f t="shared" si="5"/>
        <v>32.167266363516504</v>
      </c>
      <c r="N8" s="1">
        <f t="shared" si="6"/>
        <v>539.75991222379162</v>
      </c>
      <c r="O8" s="41"/>
    </row>
    <row r="9" spans="1:15" x14ac:dyDescent="0.25">
      <c r="A9" s="41" t="s">
        <v>237</v>
      </c>
      <c r="B9" s="1">
        <v>52.788888888888899</v>
      </c>
      <c r="C9">
        <v>7</v>
      </c>
      <c r="D9">
        <f t="shared" si="0"/>
        <v>49</v>
      </c>
      <c r="E9" s="1">
        <v>32.563123218364559</v>
      </c>
      <c r="F9" s="1">
        <v>409.08159695896086</v>
      </c>
      <c r="G9" s="1">
        <v>181.73696265906946</v>
      </c>
      <c r="H9" s="1">
        <v>45.492063247119802</v>
      </c>
      <c r="I9" s="1">
        <f t="shared" si="1"/>
        <v>20.225765670524339</v>
      </c>
      <c r="J9" s="1">
        <f t="shared" si="2"/>
        <v>-1.057971269155332</v>
      </c>
      <c r="K9" s="1">
        <f t="shared" si="3"/>
        <v>-1.057971269155332</v>
      </c>
      <c r="L9" s="1">
        <f t="shared" si="4"/>
        <v>53.84686015804423</v>
      </c>
      <c r="M9" s="1">
        <f t="shared" si="5"/>
        <v>31.505151949209228</v>
      </c>
      <c r="N9" s="1">
        <f t="shared" si="6"/>
        <v>452.99745811748494</v>
      </c>
      <c r="O9" s="41"/>
    </row>
    <row r="10" spans="1:15" x14ac:dyDescent="0.25">
      <c r="A10" s="41" t="s">
        <v>238</v>
      </c>
      <c r="B10" s="1">
        <v>50.683333333333302</v>
      </c>
      <c r="C10">
        <v>8</v>
      </c>
      <c r="D10">
        <f t="shared" si="0"/>
        <v>64</v>
      </c>
      <c r="E10" s="1">
        <v>32.572666368548056</v>
      </c>
      <c r="F10" s="1">
        <v>327.99625790936364</v>
      </c>
      <c r="G10" s="1">
        <v>129.40040018337839</v>
      </c>
      <c r="H10" s="1">
        <v>45.363421413358388</v>
      </c>
      <c r="I10" s="1">
        <f t="shared" si="1"/>
        <v>18.110666964785246</v>
      </c>
      <c r="J10" s="1">
        <f t="shared" si="2"/>
        <v>-1.3968802865950825</v>
      </c>
      <c r="K10" s="1">
        <f t="shared" si="3"/>
        <v>-1.3968802865950825</v>
      </c>
      <c r="L10" s="1">
        <f t="shared" si="4"/>
        <v>52.080213619928386</v>
      </c>
      <c r="M10" s="1">
        <f t="shared" si="5"/>
        <v>31.175786081952975</v>
      </c>
      <c r="N10" s="1">
        <f t="shared" si="6"/>
        <v>380.54439976483616</v>
      </c>
      <c r="O10" s="41"/>
    </row>
    <row r="11" spans="1:15" x14ac:dyDescent="0.25">
      <c r="A11" s="41" t="s">
        <v>239</v>
      </c>
      <c r="B11" s="1">
        <v>51.983333333333299</v>
      </c>
      <c r="C11">
        <v>9</v>
      </c>
      <c r="D11">
        <f t="shared" si="0"/>
        <v>81</v>
      </c>
      <c r="E11" s="1">
        <v>32.58348193875603</v>
      </c>
      <c r="F11" s="1">
        <v>376.35423413168161</v>
      </c>
      <c r="G11" s="1">
        <v>160.66651732609395</v>
      </c>
      <c r="H11" s="1">
        <v>45.217847526265032</v>
      </c>
      <c r="I11" s="1">
        <f t="shared" si="1"/>
        <v>19.399851394577269</v>
      </c>
      <c r="J11" s="1">
        <f t="shared" si="2"/>
        <v>0.26415847466672415</v>
      </c>
      <c r="K11" s="1">
        <f t="shared" si="3"/>
        <v>0.26415847466672415</v>
      </c>
      <c r="L11" s="1">
        <f t="shared" si="4"/>
        <v>51.719174858666577</v>
      </c>
      <c r="M11" s="1">
        <f t="shared" si="5"/>
        <v>32.847640413422752</v>
      </c>
      <c r="N11" s="1">
        <f t="shared" si="6"/>
        <v>366.17474352511459</v>
      </c>
      <c r="O11" s="41"/>
    </row>
    <row r="12" spans="1:15" x14ac:dyDescent="0.25">
      <c r="A12" s="41" t="s">
        <v>240</v>
      </c>
      <c r="B12" s="1">
        <v>52.337499999999999</v>
      </c>
      <c r="C12">
        <v>10</v>
      </c>
      <c r="D12">
        <f t="shared" si="0"/>
        <v>100</v>
      </c>
      <c r="E12" s="1">
        <v>32.595569928988468</v>
      </c>
      <c r="F12" s="1">
        <v>389.74380292870933</v>
      </c>
      <c r="G12" s="1">
        <v>169.77038070365089</v>
      </c>
      <c r="H12" s="1">
        <v>45.055424157528584</v>
      </c>
      <c r="I12" s="1">
        <f t="shared" si="1"/>
        <v>19.741930071011531</v>
      </c>
      <c r="J12" s="1">
        <f t="shared" si="2"/>
        <v>-9.9088507363074521E-2</v>
      </c>
      <c r="K12" s="1">
        <f t="shared" si="3"/>
        <v>-9.9088507363074521E-2</v>
      </c>
      <c r="L12" s="1">
        <f t="shared" si="4"/>
        <v>52.436588507363076</v>
      </c>
      <c r="M12" s="1">
        <f t="shared" si="5"/>
        <v>32.49648142162539</v>
      </c>
      <c r="N12" s="1">
        <f t="shared" si="6"/>
        <v>393.66601822740637</v>
      </c>
      <c r="O12" s="41"/>
    </row>
    <row r="13" spans="1:15" x14ac:dyDescent="0.25">
      <c r="A13" s="41" t="s">
        <v>241</v>
      </c>
      <c r="B13" s="1">
        <v>53.1944444444444</v>
      </c>
      <c r="C13">
        <v>11</v>
      </c>
      <c r="D13">
        <f t="shared" si="0"/>
        <v>121</v>
      </c>
      <c r="E13" s="1">
        <v>32.608930339245369</v>
      </c>
      <c r="F13" s="1">
        <v>423.76339097534827</v>
      </c>
      <c r="G13" s="1">
        <v>192.83601487310605</v>
      </c>
      <c r="H13" s="1">
        <v>44.876243593154008</v>
      </c>
      <c r="I13" s="1">
        <f t="shared" si="1"/>
        <v>20.585514105199032</v>
      </c>
      <c r="J13" s="1">
        <f t="shared" si="2"/>
        <v>-1.2980983239688675</v>
      </c>
      <c r="K13" s="1">
        <f t="shared" si="3"/>
        <v>-1.2980983239688675</v>
      </c>
      <c r="L13" s="1">
        <f t="shared" si="4"/>
        <v>54.492542768413266</v>
      </c>
      <c r="M13" s="1">
        <f t="shared" si="5"/>
        <v>31.3108320152765</v>
      </c>
      <c r="N13" s="1">
        <f t="shared" si="6"/>
        <v>478.89249295003185</v>
      </c>
      <c r="O13" s="41"/>
    </row>
    <row r="14" spans="1:15" x14ac:dyDescent="0.25">
      <c r="A14" s="42" t="s">
        <v>242</v>
      </c>
      <c r="B14" s="43">
        <v>52.178571428571402</v>
      </c>
      <c r="C14" s="44">
        <v>12</v>
      </c>
      <c r="D14" s="44">
        <f t="shared" si="0"/>
        <v>144</v>
      </c>
      <c r="E14" s="43">
        <v>32.62356316952674</v>
      </c>
      <c r="F14" s="43">
        <v>382.39834801130496</v>
      </c>
      <c r="G14" s="43">
        <v>165.65408873022432</v>
      </c>
      <c r="H14" s="43">
        <v>44.680407833462475</v>
      </c>
      <c r="I14" s="43">
        <f t="shared" si="1"/>
        <v>19.555008259044662</v>
      </c>
      <c r="J14" s="43">
        <f>AVERAGE(I14,I26,I38,I50,I62,I74,I86,I98,I110,I122,I134,I146,I158,I170,I184)</f>
        <v>-0.81543195478137964</v>
      </c>
      <c r="K14" s="43">
        <f t="shared" si="3"/>
        <v>-0.81543195478137964</v>
      </c>
      <c r="L14" s="43">
        <f t="shared" si="4"/>
        <v>52.994003383352783</v>
      </c>
      <c r="M14" s="43">
        <f t="shared" si="5"/>
        <v>31.808131214745359</v>
      </c>
      <c r="N14" s="43">
        <f t="shared" si="6"/>
        <v>414.95483450506123</v>
      </c>
      <c r="O14" s="41"/>
    </row>
    <row r="15" spans="1:15" x14ac:dyDescent="0.25">
      <c r="A15" s="38" t="s">
        <v>243</v>
      </c>
      <c r="B15" s="39">
        <v>52.3125</v>
      </c>
      <c r="C15" s="40">
        <v>13</v>
      </c>
      <c r="D15" s="40">
        <f t="shared" si="0"/>
        <v>169</v>
      </c>
      <c r="E15" s="39">
        <v>32.639468419832575</v>
      </c>
      <c r="F15" s="39">
        <v>387.02817155426482</v>
      </c>
      <c r="G15" s="39">
        <v>169.11952588680381</v>
      </c>
      <c r="H15" s="39">
        <v>44.468028593091681</v>
      </c>
      <c r="I15" s="39">
        <f t="shared" si="1"/>
        <v>19.673031580167425</v>
      </c>
      <c r="J15" s="1">
        <v>1.8112585460347563</v>
      </c>
      <c r="K15" s="1">
        <f t="shared" si="3"/>
        <v>1.8112585460347563</v>
      </c>
      <c r="L15" s="1">
        <f t="shared" si="4"/>
        <v>50.501241453965243</v>
      </c>
      <c r="M15" s="1">
        <f t="shared" si="5"/>
        <v>34.450726965867332</v>
      </c>
      <c r="N15" s="1">
        <f t="shared" si="6"/>
        <v>319.04293592286893</v>
      </c>
      <c r="O15" s="41"/>
    </row>
    <row r="16" spans="1:15" x14ac:dyDescent="0.25">
      <c r="A16" s="41" t="s">
        <v>244</v>
      </c>
      <c r="B16" s="1">
        <v>52.0555555555556</v>
      </c>
      <c r="C16">
        <v>14</v>
      </c>
      <c r="D16">
        <f t="shared" si="0"/>
        <v>196</v>
      </c>
      <c r="E16" s="1">
        <v>32.65664609016288</v>
      </c>
      <c r="F16" s="1">
        <v>376.31768844650327</v>
      </c>
      <c r="G16" s="1">
        <v>162.50262877229622</v>
      </c>
      <c r="H16" s="1">
        <v>44.239227300995424</v>
      </c>
      <c r="I16" s="1">
        <f t="shared" si="1"/>
        <v>19.39890946539272</v>
      </c>
      <c r="J16" s="1">
        <v>1.7118881857449326</v>
      </c>
      <c r="K16" s="1">
        <f t="shared" si="3"/>
        <v>1.7118881857449326</v>
      </c>
      <c r="L16" s="1">
        <f t="shared" si="4"/>
        <v>50.343667369810667</v>
      </c>
      <c r="M16" s="1">
        <f t="shared" si="5"/>
        <v>34.368534275907813</v>
      </c>
      <c r="N16" s="1">
        <f t="shared" si="6"/>
        <v>312.83072174671366</v>
      </c>
      <c r="O16" s="41"/>
    </row>
    <row r="17" spans="1:15" x14ac:dyDescent="0.25">
      <c r="A17" s="41" t="s">
        <v>245</v>
      </c>
      <c r="B17" s="1">
        <v>51.288888888888899</v>
      </c>
      <c r="C17">
        <v>15</v>
      </c>
      <c r="D17">
        <f t="shared" si="0"/>
        <v>225</v>
      </c>
      <c r="E17" s="1">
        <v>32.675096180517656</v>
      </c>
      <c r="F17" s="1">
        <v>346.47327899021445</v>
      </c>
      <c r="G17" s="1">
        <v>143.54400698157693</v>
      </c>
      <c r="H17" s="1">
        <v>43.99413510044392</v>
      </c>
      <c r="I17" s="1">
        <f t="shared" si="1"/>
        <v>18.613792708371243</v>
      </c>
      <c r="J17" s="1">
        <v>0.78712307023048333</v>
      </c>
      <c r="K17" s="1">
        <f t="shared" si="3"/>
        <v>0.78712307023048333</v>
      </c>
      <c r="L17" s="1">
        <f t="shared" si="4"/>
        <v>50.501765818658413</v>
      </c>
      <c r="M17" s="1">
        <f t="shared" si="5"/>
        <v>33.462219250748142</v>
      </c>
      <c r="N17" s="1">
        <f t="shared" si="6"/>
        <v>317.79015038740948</v>
      </c>
      <c r="O17" s="41"/>
    </row>
    <row r="18" spans="1:15" x14ac:dyDescent="0.25">
      <c r="A18" s="41" t="s">
        <v>246</v>
      </c>
      <c r="B18" s="1">
        <v>51.3</v>
      </c>
      <c r="C18">
        <v>16</v>
      </c>
      <c r="D18">
        <f t="shared" si="0"/>
        <v>256</v>
      </c>
      <c r="E18" s="1">
        <v>32.694818690896895</v>
      </c>
      <c r="F18" s="1">
        <v>346.15277154459943</v>
      </c>
      <c r="G18" s="1">
        <v>143.81037455449632</v>
      </c>
      <c r="H18" s="1">
        <v>43.732892849023784</v>
      </c>
      <c r="I18" s="1">
        <f t="shared" si="1"/>
        <v>18.605181309103102</v>
      </c>
      <c r="J18" s="1">
        <v>0.44727471415567188</v>
      </c>
      <c r="K18" s="1">
        <f t="shared" si="3"/>
        <v>0.44727471415567188</v>
      </c>
      <c r="L18" s="1">
        <f t="shared" si="4"/>
        <v>50.852725285844322</v>
      </c>
      <c r="M18" s="1">
        <f t="shared" si="5"/>
        <v>33.14209340505257</v>
      </c>
      <c r="N18" s="1">
        <f t="shared" si="6"/>
        <v>329.70957191083528</v>
      </c>
      <c r="O18" s="41"/>
    </row>
    <row r="19" spans="1:15" x14ac:dyDescent="0.25">
      <c r="A19" s="41" t="s">
        <v>247</v>
      </c>
      <c r="B19" s="1">
        <v>51.8888888888889</v>
      </c>
      <c r="C19">
        <v>17</v>
      </c>
      <c r="D19">
        <f t="shared" si="0"/>
        <v>289</v>
      </c>
      <c r="E19" s="1">
        <v>32.715813621300597</v>
      </c>
      <c r="F19" s="1">
        <v>367.60681521660626</v>
      </c>
      <c r="G19" s="1">
        <v>158.28118925257397</v>
      </c>
      <c r="H19" s="1">
        <v>43.455651118637853</v>
      </c>
      <c r="I19" s="1">
        <f t="shared" si="1"/>
        <v>19.173075267588302</v>
      </c>
      <c r="J19" s="1">
        <v>-5.3186412544197974E-2</v>
      </c>
      <c r="K19" s="1">
        <f t="shared" si="3"/>
        <v>-5.3186412544197974E-2</v>
      </c>
      <c r="L19" s="1">
        <f t="shared" si="4"/>
        <v>51.9420753014331</v>
      </c>
      <c r="M19" s="1">
        <f t="shared" si="5"/>
        <v>32.662627208756398</v>
      </c>
      <c r="N19" s="1">
        <f t="shared" si="6"/>
        <v>369.64913819293145</v>
      </c>
      <c r="O19" s="41"/>
    </row>
    <row r="20" spans="1:15" x14ac:dyDescent="0.25">
      <c r="A20" s="41" t="s">
        <v>248</v>
      </c>
      <c r="B20" s="1">
        <v>50.8333333333333</v>
      </c>
      <c r="C20">
        <v>18</v>
      </c>
      <c r="D20">
        <f t="shared" si="0"/>
        <v>324</v>
      </c>
      <c r="E20" s="1">
        <v>32.73808097172877</v>
      </c>
      <c r="F20" s="1">
        <v>327.43815803015428</v>
      </c>
      <c r="G20" s="1">
        <v>132.83552908446092</v>
      </c>
      <c r="H20" s="1">
        <v>43.162570195505175</v>
      </c>
      <c r="I20" s="1">
        <f t="shared" si="1"/>
        <v>18.09525236160453</v>
      </c>
      <c r="J20" s="1">
        <v>-0.38758612468901388</v>
      </c>
      <c r="K20" s="1">
        <f t="shared" si="3"/>
        <v>-0.38758612468901388</v>
      </c>
      <c r="L20" s="1">
        <f t="shared" si="4"/>
        <v>51.220919458022315</v>
      </c>
      <c r="M20" s="1">
        <f t="shared" si="5"/>
        <v>32.350494847039755</v>
      </c>
      <c r="N20" s="1">
        <f t="shared" si="6"/>
        <v>341.61531851041389</v>
      </c>
      <c r="O20" s="41"/>
    </row>
    <row r="21" spans="1:15" x14ac:dyDescent="0.25">
      <c r="A21" s="41" t="s">
        <v>249</v>
      </c>
      <c r="B21" s="1">
        <v>50.355555555555597</v>
      </c>
      <c r="C21">
        <v>19</v>
      </c>
      <c r="D21">
        <f t="shared" si="0"/>
        <v>361</v>
      </c>
      <c r="E21" s="1">
        <v>32.761620742181407</v>
      </c>
      <c r="F21" s="1">
        <v>309.54654221726031</v>
      </c>
      <c r="G21" s="1">
        <v>122.05061233780449</v>
      </c>
      <c r="H21" s="1">
        <v>42.853820080161313</v>
      </c>
      <c r="I21" s="1">
        <f t="shared" si="1"/>
        <v>17.59393481337419</v>
      </c>
      <c r="J21" s="1">
        <v>-1.057971269155332</v>
      </c>
      <c r="K21" s="1">
        <f t="shared" si="3"/>
        <v>-1.057971269155332</v>
      </c>
      <c r="L21" s="1">
        <f t="shared" si="4"/>
        <v>51.413526824710928</v>
      </c>
      <c r="M21" s="1">
        <f t="shared" si="5"/>
        <v>31.703649473026076</v>
      </c>
      <c r="N21" s="1">
        <f t="shared" si="6"/>
        <v>347.89360051150175</v>
      </c>
      <c r="O21" s="41"/>
    </row>
    <row r="22" spans="1:15" x14ac:dyDescent="0.25">
      <c r="A22" s="41" t="s">
        <v>250</v>
      </c>
      <c r="B22" s="1">
        <v>49.25</v>
      </c>
      <c r="C22">
        <v>20</v>
      </c>
      <c r="D22">
        <f t="shared" si="0"/>
        <v>400</v>
      </c>
      <c r="E22" s="1">
        <v>32.786432932658514</v>
      </c>
      <c r="F22" s="1">
        <v>271.04904058085117</v>
      </c>
      <c r="G22" s="1">
        <v>98.845279573034418</v>
      </c>
      <c r="H22" s="1">
        <v>42.529580487457942</v>
      </c>
      <c r="I22" s="1">
        <f t="shared" si="1"/>
        <v>16.463567067341486</v>
      </c>
      <c r="J22" s="1">
        <v>-1.3968802865950825</v>
      </c>
      <c r="K22" s="1">
        <f t="shared" si="3"/>
        <v>-1.3968802865950825</v>
      </c>
      <c r="L22" s="1">
        <f t="shared" si="4"/>
        <v>50.646880286595085</v>
      </c>
      <c r="M22" s="1">
        <f t="shared" si="5"/>
        <v>31.389552646063432</v>
      </c>
      <c r="N22" s="1">
        <f t="shared" si="6"/>
        <v>318.99557968273973</v>
      </c>
      <c r="O22" s="41"/>
    </row>
    <row r="23" spans="1:15" x14ac:dyDescent="0.25">
      <c r="A23" s="41" t="s">
        <v>251</v>
      </c>
      <c r="B23" s="1">
        <v>47.725000000000001</v>
      </c>
      <c r="C23">
        <v>21</v>
      </c>
      <c r="D23">
        <f t="shared" si="0"/>
        <v>441</v>
      </c>
      <c r="E23" s="1">
        <v>32.812517543160091</v>
      </c>
      <c r="F23" s="1">
        <v>222.38213302555809</v>
      </c>
      <c r="G23" s="1">
        <v>70.847510745361518</v>
      </c>
      <c r="H23" s="1">
        <v>42.190040846563143</v>
      </c>
      <c r="I23" s="1">
        <f t="shared" si="1"/>
        <v>14.912482456839911</v>
      </c>
      <c r="J23" s="1">
        <v>0.26415847466672415</v>
      </c>
      <c r="K23" s="1">
        <f t="shared" si="3"/>
        <v>0.26415847466672415</v>
      </c>
      <c r="L23" s="1">
        <f t="shared" si="4"/>
        <v>47.460841525333279</v>
      </c>
      <c r="M23" s="1">
        <f t="shared" si="5"/>
        <v>33.076676017826813</v>
      </c>
      <c r="N23" s="1">
        <f t="shared" si="6"/>
        <v>214.57339548671018</v>
      </c>
      <c r="O23" s="41"/>
    </row>
    <row r="24" spans="1:15" x14ac:dyDescent="0.25">
      <c r="A24" s="41" t="s">
        <v>252</v>
      </c>
      <c r="B24" s="1">
        <v>44.6111111111111</v>
      </c>
      <c r="C24">
        <v>22</v>
      </c>
      <c r="D24">
        <f t="shared" si="0"/>
        <v>484</v>
      </c>
      <c r="E24" s="1">
        <v>32.839874573686131</v>
      </c>
      <c r="F24" s="1">
        <v>138.56200962000855</v>
      </c>
      <c r="G24" s="1">
        <v>28.124009237085279</v>
      </c>
      <c r="H24" s="1">
        <v>41.83540030096141</v>
      </c>
      <c r="I24" s="1">
        <f t="shared" si="1"/>
        <v>11.771236537424969</v>
      </c>
      <c r="J24" s="1">
        <v>-9.9088507363074521E-2</v>
      </c>
      <c r="K24" s="1">
        <f t="shared" si="3"/>
        <v>-9.9088507363074521E-2</v>
      </c>
      <c r="L24" s="1">
        <f t="shared" si="4"/>
        <v>44.710199618474178</v>
      </c>
      <c r="M24" s="1">
        <f t="shared" si="5"/>
        <v>32.740786066323054</v>
      </c>
      <c r="N24" s="1">
        <f t="shared" si="6"/>
        <v>140.90461666892233</v>
      </c>
      <c r="O24" s="41"/>
    </row>
    <row r="25" spans="1:15" x14ac:dyDescent="0.25">
      <c r="A25" s="41" t="s">
        <v>253</v>
      </c>
      <c r="B25" s="1">
        <v>41.5</v>
      </c>
      <c r="C25">
        <v>23</v>
      </c>
      <c r="D25">
        <f t="shared" si="0"/>
        <v>529</v>
      </c>
      <c r="E25" s="1">
        <v>32.868504024236636</v>
      </c>
      <c r="F25" s="1">
        <v>74.502722779619148</v>
      </c>
      <c r="G25" s="1">
        <v>4.8052863504342884</v>
      </c>
      <c r="H25" s="1">
        <v>41.465867708453445</v>
      </c>
      <c r="I25" s="1">
        <f t="shared" si="1"/>
        <v>8.6314959757633645</v>
      </c>
      <c r="J25" s="1">
        <v>-1.2980983239688675</v>
      </c>
      <c r="K25" s="1">
        <f t="shared" si="3"/>
        <v>-1.2980983239688675</v>
      </c>
      <c r="L25" s="1">
        <f t="shared" si="4"/>
        <v>42.798098323968865</v>
      </c>
      <c r="M25" s="1">
        <f t="shared" si="5"/>
        <v>31.570405700267766</v>
      </c>
      <c r="N25" s="1">
        <f t="shared" si="6"/>
        <v>98.596842957274859</v>
      </c>
      <c r="O25" s="41"/>
    </row>
    <row r="26" spans="1:15" x14ac:dyDescent="0.25">
      <c r="A26" s="42" t="s">
        <v>254</v>
      </c>
      <c r="B26" s="43">
        <v>43.6666666666667</v>
      </c>
      <c r="C26" s="44">
        <v>24</v>
      </c>
      <c r="D26" s="44">
        <f t="shared" si="0"/>
        <v>576</v>
      </c>
      <c r="E26" s="43">
        <v>32.89840589481161</v>
      </c>
      <c r="F26" s="43">
        <v>115.95544005067318</v>
      </c>
      <c r="G26" s="43">
        <v>18.998814921627446</v>
      </c>
      <c r="H26" s="43">
        <v>41.081661641156174</v>
      </c>
      <c r="I26" s="43">
        <f t="shared" si="1"/>
        <v>10.76826077185509</v>
      </c>
      <c r="J26" s="43">
        <v>-0.81543195478137964</v>
      </c>
      <c r="K26" s="43">
        <f t="shared" si="3"/>
        <v>-0.81543195478137964</v>
      </c>
      <c r="L26" s="43">
        <f t="shared" si="4"/>
        <v>44.482098621448081</v>
      </c>
      <c r="M26" s="43">
        <f t="shared" si="5"/>
        <v>32.082973940030229</v>
      </c>
      <c r="N26" s="43">
        <f t="shared" si="6"/>
        <v>134.18193718513069</v>
      </c>
      <c r="O26" s="41"/>
    </row>
    <row r="27" spans="1:15" x14ac:dyDescent="0.25">
      <c r="A27" s="38" t="s">
        <v>255</v>
      </c>
      <c r="B27" s="39">
        <v>42.75</v>
      </c>
      <c r="C27" s="40">
        <v>25</v>
      </c>
      <c r="D27" s="40">
        <f t="shared" si="0"/>
        <v>625</v>
      </c>
      <c r="E27" s="39">
        <v>32.929580185411055</v>
      </c>
      <c r="F27" s="39">
        <v>96.440645334771162</v>
      </c>
      <c r="G27" s="39">
        <v>11.848027192789148</v>
      </c>
      <c r="H27" s="39">
        <v>40.683010385502932</v>
      </c>
      <c r="I27" s="39">
        <f t="shared" si="1"/>
        <v>9.820419814588945</v>
      </c>
      <c r="J27" s="1">
        <v>1.8112585460347563</v>
      </c>
      <c r="K27" s="1">
        <f t="shared" si="3"/>
        <v>1.8112585460347563</v>
      </c>
      <c r="L27" s="1">
        <f t="shared" si="4"/>
        <v>40.938741453965243</v>
      </c>
      <c r="M27" s="1">
        <f t="shared" si="5"/>
        <v>34.740838731445812</v>
      </c>
      <c r="N27" s="1">
        <f t="shared" si="6"/>
        <v>64.14666422570852</v>
      </c>
      <c r="O27" s="41"/>
    </row>
    <row r="28" spans="1:15" x14ac:dyDescent="0.25">
      <c r="A28" s="41" t="s">
        <v>256</v>
      </c>
      <c r="B28" s="1">
        <v>43.40625</v>
      </c>
      <c r="C28">
        <v>26</v>
      </c>
      <c r="D28">
        <f t="shared" si="0"/>
        <v>676</v>
      </c>
      <c r="E28" s="1">
        <v>32.962026896034963</v>
      </c>
      <c r="F28" s="1">
        <v>109.08179624539706</v>
      </c>
      <c r="G28" s="1">
        <v>16.79644269752545</v>
      </c>
      <c r="H28" s="1">
        <v>40.270151942243459</v>
      </c>
      <c r="I28" s="1">
        <f t="shared" si="1"/>
        <v>10.444223103965037</v>
      </c>
      <c r="J28" s="1">
        <v>1.7118881857449326</v>
      </c>
      <c r="K28" s="1">
        <f t="shared" si="3"/>
        <v>1.7118881857449326</v>
      </c>
      <c r="L28" s="1">
        <f t="shared" si="4"/>
        <v>41.694361814255068</v>
      </c>
      <c r="M28" s="1">
        <f t="shared" si="5"/>
        <v>34.673915081779896</v>
      </c>
      <c r="N28" s="1">
        <f t="shared" si="6"/>
        <v>76.253673123966109</v>
      </c>
      <c r="O28" s="41"/>
    </row>
    <row r="29" spans="1:15" x14ac:dyDescent="0.25">
      <c r="A29" s="41" t="s">
        <v>257</v>
      </c>
      <c r="B29" s="1">
        <v>42.28125</v>
      </c>
      <c r="C29">
        <v>27</v>
      </c>
      <c r="D29">
        <f t="shared" si="0"/>
        <v>729</v>
      </c>
      <c r="E29" s="1">
        <v>32.995746026683342</v>
      </c>
      <c r="F29" s="1">
        <v>86.220584038479444</v>
      </c>
      <c r="G29" s="1">
        <v>8.8407884394060758</v>
      </c>
      <c r="H29" s="1">
        <v>39.843334026443614</v>
      </c>
      <c r="I29" s="1">
        <f t="shared" si="1"/>
        <v>9.2855039733166578</v>
      </c>
      <c r="J29" s="1">
        <v>0.78712307023048333</v>
      </c>
      <c r="K29" s="1">
        <f t="shared" si="3"/>
        <v>0.78712307023048333</v>
      </c>
      <c r="L29" s="1">
        <f t="shared" si="4"/>
        <v>41.494126929769514</v>
      </c>
      <c r="M29" s="1">
        <f t="shared" si="5"/>
        <v>33.782869096913828</v>
      </c>
      <c r="N29" s="1">
        <f t="shared" si="6"/>
        <v>72.222477973939746</v>
      </c>
      <c r="O29" s="41"/>
    </row>
    <row r="30" spans="1:15" x14ac:dyDescent="0.25">
      <c r="A30" s="41" t="s">
        <v>258</v>
      </c>
      <c r="B30" s="1">
        <v>41.412500000000001</v>
      </c>
      <c r="C30">
        <v>28</v>
      </c>
      <c r="D30">
        <f t="shared" si="0"/>
        <v>784</v>
      </c>
      <c r="E30" s="1">
        <v>33.030737577356184</v>
      </c>
      <c r="F30" s="1">
        <v>70.253941309643949</v>
      </c>
      <c r="G30" s="1">
        <v>4.4293257414694542</v>
      </c>
      <c r="H30" s="1">
        <v>39.402814067485757</v>
      </c>
      <c r="I30" s="1">
        <f t="shared" si="1"/>
        <v>8.381762422643817</v>
      </c>
      <c r="J30" s="1">
        <v>0.44727471415567188</v>
      </c>
      <c r="K30" s="1">
        <f t="shared" si="3"/>
        <v>0.44727471415567188</v>
      </c>
      <c r="L30" s="1">
        <f t="shared" si="4"/>
        <v>40.965225285844326</v>
      </c>
      <c r="M30" s="1">
        <f t="shared" si="5"/>
        <v>33.47801229151186</v>
      </c>
      <c r="N30" s="1">
        <f t="shared" si="6"/>
        <v>62.956095196149406</v>
      </c>
      <c r="O30" s="41"/>
    </row>
    <row r="31" spans="1:15" x14ac:dyDescent="0.25">
      <c r="A31" s="41" t="s">
        <v>259</v>
      </c>
      <c r="B31" s="1">
        <v>40.604999999999997</v>
      </c>
      <c r="C31">
        <v>29</v>
      </c>
      <c r="D31">
        <f t="shared" si="0"/>
        <v>841</v>
      </c>
      <c r="E31" s="1">
        <v>33.06700154805349</v>
      </c>
      <c r="F31" s="1">
        <v>56.821420661547933</v>
      </c>
      <c r="G31" s="1">
        <v>1.6824589073082008</v>
      </c>
      <c r="H31" s="1">
        <v>38.948859209068466</v>
      </c>
      <c r="I31" s="1">
        <f t="shared" si="1"/>
        <v>7.5379984519465069</v>
      </c>
      <c r="J31" s="1">
        <v>-5.3186412544197974E-2</v>
      </c>
      <c r="K31" s="1">
        <f t="shared" si="3"/>
        <v>-5.3186412544197974E-2</v>
      </c>
      <c r="L31" s="1">
        <f t="shared" si="4"/>
        <v>40.658186412544197</v>
      </c>
      <c r="M31" s="1">
        <f t="shared" si="5"/>
        <v>33.01381513550929</v>
      </c>
      <c r="N31" s="1">
        <f t="shared" si="6"/>
        <v>57.62608764687279</v>
      </c>
      <c r="O31" s="41"/>
    </row>
    <row r="32" spans="1:15" x14ac:dyDescent="0.25">
      <c r="A32" s="41" t="s">
        <v>260</v>
      </c>
      <c r="B32" s="1">
        <v>39.9375</v>
      </c>
      <c r="C32">
        <v>30</v>
      </c>
      <c r="D32">
        <f t="shared" si="0"/>
        <v>900</v>
      </c>
      <c r="E32" s="1">
        <v>33.104537938775266</v>
      </c>
      <c r="F32" s="1">
        <v>46.689370530136564</v>
      </c>
      <c r="G32" s="1">
        <v>0.39639154749071381</v>
      </c>
      <c r="H32" s="1">
        <v>38.481746309206542</v>
      </c>
      <c r="I32" s="1">
        <f t="shared" si="1"/>
        <v>6.8329620612247339</v>
      </c>
      <c r="J32" s="1">
        <v>-0.38758612468901388</v>
      </c>
      <c r="K32" s="1">
        <f t="shared" si="3"/>
        <v>-0.38758612468901388</v>
      </c>
      <c r="L32" s="1">
        <f t="shared" si="4"/>
        <v>40.325086124689015</v>
      </c>
      <c r="M32" s="1">
        <f t="shared" si="5"/>
        <v>32.716951814086251</v>
      </c>
      <c r="N32" s="1">
        <f t="shared" si="6"/>
        <v>52.136316105102338</v>
      </c>
      <c r="O32" s="41"/>
    </row>
    <row r="33" spans="1:15" x14ac:dyDescent="0.25">
      <c r="A33" s="41" t="s">
        <v>261</v>
      </c>
      <c r="B33" s="1">
        <v>38.022222222222197</v>
      </c>
      <c r="C33">
        <v>31</v>
      </c>
      <c r="D33">
        <f t="shared" si="0"/>
        <v>961</v>
      </c>
      <c r="E33" s="1">
        <v>33.143346749521513</v>
      </c>
      <c r="F33" s="1">
        <v>23.803425878120329</v>
      </c>
      <c r="G33" s="1">
        <v>1.6529767673097699</v>
      </c>
      <c r="H33" s="1">
        <v>38.001761940231198</v>
      </c>
      <c r="I33" s="1">
        <f t="shared" si="1"/>
        <v>4.8788754727006847</v>
      </c>
      <c r="J33" s="1">
        <v>-1.057971269155332</v>
      </c>
      <c r="K33" s="1">
        <f t="shared" si="3"/>
        <v>-1.057971269155332</v>
      </c>
      <c r="L33" s="1">
        <f t="shared" si="4"/>
        <v>39.080193491377528</v>
      </c>
      <c r="M33" s="1">
        <f t="shared" si="5"/>
        <v>32.085375480366181</v>
      </c>
      <c r="N33" s="1">
        <f t="shared" si="6"/>
        <v>35.246149236286392</v>
      </c>
      <c r="O33" s="41"/>
    </row>
    <row r="34" spans="1:15" x14ac:dyDescent="0.25">
      <c r="A34" s="41" t="s">
        <v>262</v>
      </c>
      <c r="B34" s="1">
        <v>34.994162640901799</v>
      </c>
      <c r="C34">
        <v>32</v>
      </c>
      <c r="D34">
        <f t="shared" si="0"/>
        <v>1024</v>
      </c>
      <c r="E34" s="1">
        <v>33.183427980292223</v>
      </c>
      <c r="F34" s="1">
        <v>3.2787600111328765</v>
      </c>
      <c r="G34" s="1">
        <v>18.608361606233714</v>
      </c>
      <c r="H34" s="1">
        <v>37.509202388790023</v>
      </c>
      <c r="I34" s="1">
        <f t="shared" si="1"/>
        <v>1.810734660609576</v>
      </c>
      <c r="J34" s="1">
        <v>-1.3968802865950825</v>
      </c>
      <c r="K34" s="1">
        <f t="shared" si="3"/>
        <v>-1.3968802865950825</v>
      </c>
      <c r="L34" s="1">
        <f t="shared" si="4"/>
        <v>36.391042927496883</v>
      </c>
      <c r="M34" s="1">
        <f t="shared" si="5"/>
        <v>31.786547693697141</v>
      </c>
      <c r="N34" s="1">
        <f t="shared" si="6"/>
        <v>10.288793649530737</v>
      </c>
      <c r="O34" s="41"/>
    </row>
    <row r="35" spans="1:15" x14ac:dyDescent="0.25">
      <c r="A35" s="41" t="s">
        <v>263</v>
      </c>
      <c r="B35" s="1">
        <v>34.453286749482402</v>
      </c>
      <c r="C35">
        <v>33</v>
      </c>
      <c r="D35">
        <f t="shared" si="0"/>
        <v>1089</v>
      </c>
      <c r="E35" s="1">
        <v>33.224781631087403</v>
      </c>
      <c r="F35" s="1">
        <v>1.5092248259227101</v>
      </c>
      <c r="G35" s="1">
        <v>23.567305377574812</v>
      </c>
      <c r="H35" s="1">
        <v>37.00437365584677</v>
      </c>
      <c r="I35" s="1">
        <f t="shared" si="1"/>
        <v>1.2285051183949989</v>
      </c>
      <c r="J35" s="1">
        <v>0.26415847466672415</v>
      </c>
      <c r="K35" s="1">
        <f t="shared" si="3"/>
        <v>0.26415847466672415</v>
      </c>
      <c r="L35" s="1">
        <f t="shared" si="4"/>
        <v>34.18912827481568</v>
      </c>
      <c r="M35" s="1">
        <f t="shared" si="5"/>
        <v>33.488940105754125</v>
      </c>
      <c r="N35" s="1">
        <f t="shared" si="6"/>
        <v>0.92996444926999211</v>
      </c>
      <c r="O35" s="41"/>
    </row>
    <row r="36" spans="1:15" x14ac:dyDescent="0.25">
      <c r="A36" s="41" t="s">
        <v>264</v>
      </c>
      <c r="B36" s="1">
        <v>34.848495589161899</v>
      </c>
      <c r="C36">
        <v>34</v>
      </c>
      <c r="D36">
        <f t="shared" si="0"/>
        <v>1156</v>
      </c>
      <c r="E36" s="1">
        <v>33.267407701907047</v>
      </c>
      <c r="F36" s="1">
        <v>2.4998389072240141</v>
      </c>
      <c r="G36" s="1">
        <v>19.886320369530228</v>
      </c>
      <c r="H36" s="1">
        <v>36.487591456681656</v>
      </c>
      <c r="I36" s="1">
        <f t="shared" si="1"/>
        <v>1.5810878872548528</v>
      </c>
      <c r="J36" s="1">
        <v>-9.9088507363074521E-2</v>
      </c>
      <c r="K36" s="1">
        <f t="shared" si="3"/>
        <v>-9.9088507363074521E-2</v>
      </c>
      <c r="L36" s="1">
        <f t="shared" si="4"/>
        <v>34.947584096524977</v>
      </c>
      <c r="M36" s="1">
        <f t="shared" si="5"/>
        <v>33.168319194543969</v>
      </c>
      <c r="N36" s="1">
        <f t="shared" si="6"/>
        <v>2.8229927170313083</v>
      </c>
      <c r="O36" s="41"/>
    </row>
    <row r="37" spans="1:15" x14ac:dyDescent="0.25">
      <c r="A37" s="41" t="s">
        <v>265</v>
      </c>
      <c r="B37" s="1">
        <v>35.592003105590003</v>
      </c>
      <c r="C37">
        <v>35</v>
      </c>
      <c r="D37">
        <f t="shared" si="0"/>
        <v>1225</v>
      </c>
      <c r="E37" s="1">
        <v>33.311306192751161</v>
      </c>
      <c r="F37" s="1">
        <v>5.2015784082326233</v>
      </c>
      <c r="G37" s="1">
        <v>13.807916952991391</v>
      </c>
      <c r="H37" s="1">
        <v>35.959181220891054</v>
      </c>
      <c r="I37" s="1">
        <f t="shared" si="1"/>
        <v>2.2806969128388417</v>
      </c>
      <c r="J37" s="1">
        <v>-1.2980983239688675</v>
      </c>
      <c r="K37" s="1">
        <f t="shared" si="3"/>
        <v>-1.2980983239688675</v>
      </c>
      <c r="L37" s="1">
        <f t="shared" si="4"/>
        <v>36.890101429558868</v>
      </c>
      <c r="M37" s="1">
        <f t="shared" si="5"/>
        <v>32.013207868782295</v>
      </c>
      <c r="N37" s="1">
        <f t="shared" si="6"/>
        <v>12.807775346997532</v>
      </c>
      <c r="O37" s="41"/>
    </row>
    <row r="38" spans="1:15" x14ac:dyDescent="0.25">
      <c r="A38" s="42" t="s">
        <v>266</v>
      </c>
      <c r="B38" s="43">
        <v>34.593297101449302</v>
      </c>
      <c r="C38" s="44">
        <v>36</v>
      </c>
      <c r="D38" s="44">
        <f t="shared" si="0"/>
        <v>1296</v>
      </c>
      <c r="E38" s="43">
        <v>33.356477103619739</v>
      </c>
      <c r="F38" s="43">
        <v>1.5297237070311216</v>
      </c>
      <c r="G38" s="43">
        <v>22.227515030764319</v>
      </c>
      <c r="H38" s="43">
        <v>35.419478092387813</v>
      </c>
      <c r="I38" s="43">
        <f t="shared" si="1"/>
        <v>1.2368199978295635</v>
      </c>
      <c r="J38" s="43">
        <v>-0.81543195478137964</v>
      </c>
      <c r="K38" s="43">
        <f t="shared" si="3"/>
        <v>-0.81543195478137964</v>
      </c>
      <c r="L38" s="43">
        <f t="shared" si="4"/>
        <v>35.408729056230683</v>
      </c>
      <c r="M38" s="43">
        <f t="shared" si="5"/>
        <v>32.541045148838357</v>
      </c>
      <c r="N38" s="43">
        <f t="shared" si="6"/>
        <v>4.2117380769954362</v>
      </c>
      <c r="O38" s="41"/>
    </row>
    <row r="39" spans="1:15" x14ac:dyDescent="0.25">
      <c r="A39" s="38" t="s">
        <v>267</v>
      </c>
      <c r="B39" s="39">
        <v>35.214988972904798</v>
      </c>
      <c r="C39" s="40">
        <v>37</v>
      </c>
      <c r="D39" s="40">
        <f t="shared" si="0"/>
        <v>1369</v>
      </c>
      <c r="E39" s="39">
        <v>33.402920434512779</v>
      </c>
      <c r="F39" s="39">
        <v>3.283592387830188</v>
      </c>
      <c r="G39" s="39">
        <v>16.751950660872335</v>
      </c>
      <c r="H39" s="39">
        <v>34.868826929400996</v>
      </c>
      <c r="I39" s="39">
        <f t="shared" si="1"/>
        <v>1.812068538392019</v>
      </c>
      <c r="J39" s="1">
        <v>1.8112585460347563</v>
      </c>
      <c r="K39" s="1">
        <f t="shared" si="3"/>
        <v>1.8112585460347563</v>
      </c>
      <c r="L39" s="1">
        <f t="shared" si="4"/>
        <v>33.403730426870041</v>
      </c>
      <c r="M39" s="1">
        <f t="shared" si="5"/>
        <v>35.214178980547537</v>
      </c>
      <c r="N39" s="1">
        <f t="shared" si="6"/>
        <v>6.5608761882209866E-7</v>
      </c>
      <c r="O39" s="41"/>
    </row>
    <row r="40" spans="1:15" x14ac:dyDescent="0.25">
      <c r="A40" s="41" t="s">
        <v>268</v>
      </c>
      <c r="B40" s="1">
        <v>35.546739130434801</v>
      </c>
      <c r="C40">
        <v>38</v>
      </c>
      <c r="D40">
        <f t="shared" si="0"/>
        <v>1444</v>
      </c>
      <c r="E40" s="1">
        <v>33.450636185430298</v>
      </c>
      <c r="F40" s="1">
        <v>4.3936475560565516</v>
      </c>
      <c r="G40" s="1">
        <v>14.146358641463106</v>
      </c>
      <c r="H40" s="1">
        <v>34.307582304475837</v>
      </c>
      <c r="I40" s="1">
        <f t="shared" si="1"/>
        <v>2.0961029450045032</v>
      </c>
      <c r="J40" s="1">
        <v>1.7118881857449326</v>
      </c>
      <c r="K40" s="1">
        <f t="shared" si="3"/>
        <v>1.7118881857449326</v>
      </c>
      <c r="L40" s="1">
        <f t="shared" si="4"/>
        <v>33.834850944689869</v>
      </c>
      <c r="M40" s="1">
        <f t="shared" si="5"/>
        <v>35.16252437117523</v>
      </c>
      <c r="N40" s="1">
        <f t="shared" si="6"/>
        <v>0.14762098123288997</v>
      </c>
      <c r="O40" s="41"/>
    </row>
    <row r="41" spans="1:15" x14ac:dyDescent="0.25">
      <c r="A41" s="41" t="s">
        <v>269</v>
      </c>
      <c r="B41" s="1">
        <v>34.7028554175293</v>
      </c>
      <c r="C41">
        <v>39</v>
      </c>
      <c r="D41">
        <f t="shared" si="0"/>
        <v>1521</v>
      </c>
      <c r="E41" s="1">
        <v>33.499624356372273</v>
      </c>
      <c r="F41" s="1">
        <v>1.4477649865330646</v>
      </c>
      <c r="G41" s="1">
        <v>21.206469343647477</v>
      </c>
      <c r="H41" s="1">
        <v>33.736108504474281</v>
      </c>
      <c r="I41" s="1">
        <f t="shared" si="1"/>
        <v>1.2032310611570267</v>
      </c>
      <c r="J41" s="1">
        <v>0.78712307023048333</v>
      </c>
      <c r="K41" s="1">
        <f t="shared" si="3"/>
        <v>0.78712307023048333</v>
      </c>
      <c r="L41" s="1">
        <f t="shared" si="4"/>
        <v>33.915732347298814</v>
      </c>
      <c r="M41" s="1">
        <f t="shared" si="5"/>
        <v>34.286747426602759</v>
      </c>
      <c r="N41" s="1">
        <f t="shared" si="6"/>
        <v>0.17314586011292238</v>
      </c>
      <c r="O41" s="41"/>
    </row>
    <row r="42" spans="1:15" x14ac:dyDescent="0.25">
      <c r="A42" s="41" t="s">
        <v>270</v>
      </c>
      <c r="B42" s="1">
        <v>32.744565217391298</v>
      </c>
      <c r="C42">
        <v>40</v>
      </c>
      <c r="D42">
        <f t="shared" si="0"/>
        <v>1600</v>
      </c>
      <c r="E42" s="1">
        <v>33.549884947338718</v>
      </c>
      <c r="F42" s="1">
        <v>0.64853986744258652</v>
      </c>
      <c r="G42" s="1">
        <v>43.077411552367344</v>
      </c>
      <c r="H42" s="1">
        <v>33.154779530574174</v>
      </c>
      <c r="I42" s="1">
        <f t="shared" si="1"/>
        <v>-0.80531972994742063</v>
      </c>
      <c r="J42" s="1">
        <v>0.44727471415567188</v>
      </c>
      <c r="K42" s="1">
        <f t="shared" si="3"/>
        <v>0.44727471415567188</v>
      </c>
      <c r="L42" s="1">
        <f t="shared" si="4"/>
        <v>32.297290503235622</v>
      </c>
      <c r="M42" s="1">
        <f t="shared" si="5"/>
        <v>33.997159661494393</v>
      </c>
      <c r="N42" s="1">
        <f t="shared" si="6"/>
        <v>1.5689928413979437</v>
      </c>
      <c r="O42" s="41"/>
    </row>
    <row r="43" spans="1:15" x14ac:dyDescent="0.25">
      <c r="A43" s="41" t="s">
        <v>271</v>
      </c>
      <c r="B43" s="1">
        <v>28.539855072463801</v>
      </c>
      <c r="C43">
        <v>41</v>
      </c>
      <c r="D43">
        <f t="shared" si="0"/>
        <v>1681</v>
      </c>
      <c r="E43" s="1">
        <v>33.601417958329634</v>
      </c>
      <c r="F43" s="1">
        <v>25.619418847574455</v>
      </c>
      <c r="G43" s="1">
        <v>115.95087044939892</v>
      </c>
      <c r="H43" s="1">
        <v>32.563979098269833</v>
      </c>
      <c r="I43" s="1">
        <f t="shared" si="1"/>
        <v>-5.0615628858658326</v>
      </c>
      <c r="J43" s="1">
        <v>-5.3186412544197974E-2</v>
      </c>
      <c r="K43" s="1">
        <f t="shared" si="3"/>
        <v>-5.3186412544197974E-2</v>
      </c>
      <c r="L43" s="1">
        <f t="shared" si="4"/>
        <v>28.593041485007998</v>
      </c>
      <c r="M43" s="1">
        <f t="shared" si="5"/>
        <v>33.548231545785434</v>
      </c>
      <c r="N43" s="1">
        <f t="shared" si="6"/>
        <v>25.083834898521634</v>
      </c>
      <c r="O43" s="41"/>
    </row>
    <row r="44" spans="1:15" x14ac:dyDescent="0.25">
      <c r="A44" s="41" t="s">
        <v>272</v>
      </c>
      <c r="B44" s="1">
        <v>28.2254572118702</v>
      </c>
      <c r="C44">
        <v>42</v>
      </c>
      <c r="D44">
        <f t="shared" si="0"/>
        <v>1764</v>
      </c>
      <c r="E44" s="1">
        <v>33.654223389345013</v>
      </c>
      <c r="F44" s="1">
        <v>29.471502209694492</v>
      </c>
      <c r="G44" s="1">
        <v>122.82061934344631</v>
      </c>
      <c r="H44" s="1">
        <v>31.964100637371988</v>
      </c>
      <c r="I44" s="1">
        <f t="shared" si="1"/>
        <v>-5.428766177474813</v>
      </c>
      <c r="J44" s="1">
        <v>-0.38758612468901388</v>
      </c>
      <c r="K44" s="1">
        <f t="shared" si="3"/>
        <v>-0.38758612468901388</v>
      </c>
      <c r="L44" s="1">
        <f t="shared" si="4"/>
        <v>28.613043336559215</v>
      </c>
      <c r="M44" s="1">
        <f t="shared" si="5"/>
        <v>33.266637264655998</v>
      </c>
      <c r="N44" s="1">
        <f t="shared" si="6"/>
        <v>25.413496324605418</v>
      </c>
      <c r="O44" s="41"/>
    </row>
    <row r="45" spans="1:15" x14ac:dyDescent="0.25">
      <c r="A45" s="41" t="s">
        <v>273</v>
      </c>
      <c r="B45" s="1">
        <v>28.4002047889099</v>
      </c>
      <c r="C45">
        <v>43</v>
      </c>
      <c r="D45">
        <f t="shared" si="0"/>
        <v>1849</v>
      </c>
      <c r="E45" s="1">
        <v>33.708301240384863</v>
      </c>
      <c r="F45" s="1">
        <v>28.175887938161097</v>
      </c>
      <c r="G45" s="1">
        <v>118.97789472909295</v>
      </c>
      <c r="H45" s="1">
        <v>31.355547292007497</v>
      </c>
      <c r="I45" s="1">
        <f t="shared" si="1"/>
        <v>-5.3080964514749631</v>
      </c>
      <c r="J45" s="1">
        <v>-1.057971269155332</v>
      </c>
      <c r="K45" s="1">
        <f t="shared" si="3"/>
        <v>-1.057971269155332</v>
      </c>
      <c r="L45" s="1">
        <f t="shared" si="4"/>
        <v>29.458176058065231</v>
      </c>
      <c r="M45" s="1">
        <f t="shared" si="5"/>
        <v>32.650329971229532</v>
      </c>
      <c r="N45" s="1">
        <f t="shared" si="6"/>
        <v>18.063564065387485</v>
      </c>
      <c r="O45" s="41"/>
    </row>
    <row r="46" spans="1:15" x14ac:dyDescent="0.25">
      <c r="A46" s="41" t="s">
        <v>274</v>
      </c>
      <c r="B46" s="1">
        <v>30.829321946169799</v>
      </c>
      <c r="C46">
        <v>44</v>
      </c>
      <c r="D46">
        <f t="shared" si="0"/>
        <v>1936</v>
      </c>
      <c r="E46" s="1">
        <v>33.763651511449176</v>
      </c>
      <c r="F46" s="1">
        <v>8.6102899976726572</v>
      </c>
      <c r="G46" s="1">
        <v>71.886347929951825</v>
      </c>
      <c r="H46" s="1">
        <v>30.738731920619699</v>
      </c>
      <c r="I46" s="1">
        <f t="shared" si="1"/>
        <v>-2.9343295652793771</v>
      </c>
      <c r="J46" s="1">
        <v>-1.3968802865950825</v>
      </c>
      <c r="K46" s="1">
        <f t="shared" si="3"/>
        <v>-1.3968802865950825</v>
      </c>
      <c r="L46" s="1">
        <f t="shared" si="4"/>
        <v>32.226202232764884</v>
      </c>
      <c r="M46" s="1">
        <f t="shared" si="5"/>
        <v>32.366771224854091</v>
      </c>
      <c r="N46" s="1">
        <f t="shared" si="6"/>
        <v>2.3637502845268501</v>
      </c>
      <c r="O46" s="41"/>
    </row>
    <row r="47" spans="1:15" x14ac:dyDescent="0.25">
      <c r="A47" s="41" t="s">
        <v>275</v>
      </c>
      <c r="B47" s="1">
        <v>34.371829710144901</v>
      </c>
      <c r="C47">
        <v>45</v>
      </c>
      <c r="D47">
        <f t="shared" si="0"/>
        <v>2025</v>
      </c>
      <c r="E47" s="1">
        <v>33.820274202537959</v>
      </c>
      <c r="F47" s="1">
        <v>0.30421347797155129</v>
      </c>
      <c r="G47" s="1">
        <v>24.3648260686277</v>
      </c>
      <c r="H47" s="1">
        <v>30.114077095968089</v>
      </c>
      <c r="I47" s="1">
        <f t="shared" si="1"/>
        <v>0.55155550760694183</v>
      </c>
      <c r="J47" s="1">
        <v>0.26415847466672415</v>
      </c>
      <c r="K47" s="1">
        <f t="shared" si="3"/>
        <v>0.26415847466672415</v>
      </c>
      <c r="L47" s="1">
        <f t="shared" si="4"/>
        <v>34.107671235478179</v>
      </c>
      <c r="M47" s="1">
        <f t="shared" si="5"/>
        <v>34.084432677204681</v>
      </c>
      <c r="N47" s="1">
        <f t="shared" si="6"/>
        <v>8.2597054542841775E-2</v>
      </c>
      <c r="O47" s="41"/>
    </row>
    <row r="48" spans="1:15" x14ac:dyDescent="0.25">
      <c r="A48" s="41" t="s">
        <v>276</v>
      </c>
      <c r="B48" s="1">
        <v>35.751732829237497</v>
      </c>
      <c r="C48">
        <v>46</v>
      </c>
      <c r="D48">
        <f t="shared" si="0"/>
        <v>2116</v>
      </c>
      <c r="E48" s="1">
        <v>33.878169313651213</v>
      </c>
      <c r="F48" s="1">
        <v>3.5102402469360348</v>
      </c>
      <c r="G48" s="1">
        <v>12.646350999316011</v>
      </c>
      <c r="H48" s="1">
        <v>29.48201510512855</v>
      </c>
      <c r="I48" s="1">
        <f t="shared" si="1"/>
        <v>1.8735635155862838</v>
      </c>
      <c r="J48" s="1">
        <v>-9.9088507363074521E-2</v>
      </c>
      <c r="K48" s="1">
        <f t="shared" si="3"/>
        <v>-9.9088507363074521E-2</v>
      </c>
      <c r="L48" s="1">
        <f t="shared" si="4"/>
        <v>35.850821336600575</v>
      </c>
      <c r="M48" s="1">
        <f t="shared" si="5"/>
        <v>33.779080806288135</v>
      </c>
      <c r="N48" s="1">
        <f t="shared" si="6"/>
        <v>3.8913560036462087</v>
      </c>
      <c r="O48" s="41"/>
    </row>
    <row r="49" spans="1:15" x14ac:dyDescent="0.25">
      <c r="A49" s="41" t="s">
        <v>277</v>
      </c>
      <c r="B49" s="1">
        <v>40.597373188405797</v>
      </c>
      <c r="C49">
        <v>47</v>
      </c>
      <c r="D49">
        <f t="shared" si="0"/>
        <v>2209</v>
      </c>
      <c r="E49" s="1">
        <v>33.937336844788923</v>
      </c>
      <c r="F49" s="1">
        <v>44.356084098297615</v>
      </c>
      <c r="G49" s="1">
        <v>1.6627316568005281</v>
      </c>
      <c r="H49" s="1">
        <v>28.842987949493434</v>
      </c>
      <c r="I49" s="1">
        <f t="shared" si="1"/>
        <v>6.6600363436168735</v>
      </c>
      <c r="J49" s="1">
        <v>-1.2980983239688675</v>
      </c>
      <c r="K49" s="1">
        <f t="shared" si="3"/>
        <v>-1.2980983239688675</v>
      </c>
      <c r="L49" s="1">
        <f t="shared" si="4"/>
        <v>41.895471512374662</v>
      </c>
      <c r="M49" s="1">
        <f t="shared" si="5"/>
        <v>32.639238520820058</v>
      </c>
      <c r="N49" s="1">
        <f t="shared" si="6"/>
        <v>63.331907387429979</v>
      </c>
      <c r="O49" s="41"/>
    </row>
    <row r="50" spans="1:15" x14ac:dyDescent="0.25">
      <c r="A50" s="42" t="s">
        <v>278</v>
      </c>
      <c r="B50" s="43">
        <v>36.948251417769299</v>
      </c>
      <c r="C50" s="44">
        <v>48</v>
      </c>
      <c r="D50" s="44">
        <f t="shared" si="0"/>
        <v>2304</v>
      </c>
      <c r="E50" s="43">
        <v>33.997776795951111</v>
      </c>
      <c r="F50" s="43">
        <v>8.7053004939931782</v>
      </c>
      <c r="G50" s="43">
        <v>5.5679587186962722</v>
      </c>
      <c r="H50" s="43">
        <v>28.197447344771017</v>
      </c>
      <c r="I50" s="43">
        <f t="shared" si="1"/>
        <v>2.9504746218181879</v>
      </c>
      <c r="J50" s="43">
        <v>-0.81543195478137964</v>
      </c>
      <c r="K50" s="43">
        <f t="shared" si="3"/>
        <v>-0.81543195478137964</v>
      </c>
      <c r="L50" s="43">
        <f t="shared" si="4"/>
        <v>37.76368337255068</v>
      </c>
      <c r="M50" s="43">
        <f t="shared" si="5"/>
        <v>33.18234484116973</v>
      </c>
      <c r="N50" s="43">
        <f t="shared" si="6"/>
        <v>14.182052343675887</v>
      </c>
      <c r="O50" s="41"/>
    </row>
    <row r="51" spans="1:15" x14ac:dyDescent="0.25">
      <c r="A51" s="38" t="s">
        <v>279</v>
      </c>
      <c r="B51" s="39">
        <v>35.897727272727302</v>
      </c>
      <c r="C51" s="40">
        <v>49</v>
      </c>
      <c r="D51" s="40">
        <f t="shared" si="0"/>
        <v>2401</v>
      </c>
      <c r="E51" s="39">
        <v>34.059489167137755</v>
      </c>
      <c r="F51" s="39">
        <v>3.3791193328414448</v>
      </c>
      <c r="G51" s="39">
        <v>11.629303013169293</v>
      </c>
      <c r="H51" s="39">
        <v>27.545854720986345</v>
      </c>
      <c r="I51" s="39">
        <f t="shared" si="1"/>
        <v>1.8382381055895465</v>
      </c>
      <c r="J51" s="1">
        <v>1.8112585460347563</v>
      </c>
      <c r="K51" s="1">
        <f t="shared" si="3"/>
        <v>1.8112585460347563</v>
      </c>
      <c r="L51" s="1">
        <f t="shared" si="4"/>
        <v>34.086468726692544</v>
      </c>
      <c r="M51" s="1">
        <f t="shared" si="5"/>
        <v>35.870747713172513</v>
      </c>
      <c r="N51" s="1">
        <f t="shared" si="6"/>
        <v>7.2789663377040824E-4</v>
      </c>
      <c r="O51" s="41"/>
    </row>
    <row r="52" spans="1:15" x14ac:dyDescent="0.25">
      <c r="A52" s="41" t="s">
        <v>280</v>
      </c>
      <c r="B52" s="1">
        <v>38.1875</v>
      </c>
      <c r="C52">
        <v>50</v>
      </c>
      <c r="D52">
        <f t="shared" si="0"/>
        <v>2500</v>
      </c>
      <c r="E52" s="1">
        <v>34.122473958348877</v>
      </c>
      <c r="F52" s="1">
        <v>16.524436719301796</v>
      </c>
      <c r="G52" s="1">
        <v>1.25530436819391</v>
      </c>
      <c r="H52" s="1">
        <v>26.888681222480326</v>
      </c>
      <c r="I52" s="1">
        <f t="shared" si="1"/>
        <v>4.065026041651123</v>
      </c>
      <c r="J52" s="1">
        <v>1.7118881857449326</v>
      </c>
      <c r="K52" s="1">
        <f t="shared" si="3"/>
        <v>1.7118881857449326</v>
      </c>
      <c r="L52" s="1">
        <f t="shared" si="4"/>
        <v>36.475611814255068</v>
      </c>
      <c r="M52" s="1">
        <f t="shared" si="5"/>
        <v>35.834362144093809</v>
      </c>
      <c r="N52" s="1">
        <f t="shared" si="6"/>
        <v>5.5372577688987841</v>
      </c>
      <c r="O52" s="41"/>
    </row>
    <row r="53" spans="1:15" x14ac:dyDescent="0.25">
      <c r="A53" s="41" t="s">
        <v>281</v>
      </c>
      <c r="B53" s="1">
        <v>39.318181818181799</v>
      </c>
      <c r="C53">
        <v>51</v>
      </c>
      <c r="D53">
        <f t="shared" si="0"/>
        <v>2601</v>
      </c>
      <c r="E53" s="1">
        <v>34.186731169584462</v>
      </c>
      <c r="F53" s="1">
        <v>26.33178575899003</v>
      </c>
      <c r="G53" s="1">
        <v>1.0564047274771933E-4</v>
      </c>
      <c r="H53" s="1">
        <v>26.22640770791055</v>
      </c>
      <c r="I53" s="1">
        <f t="shared" si="1"/>
        <v>5.1314506485973368</v>
      </c>
      <c r="J53" s="1">
        <v>0.78712307023048333</v>
      </c>
      <c r="K53" s="1">
        <f t="shared" si="3"/>
        <v>0.78712307023048333</v>
      </c>
      <c r="L53" s="1">
        <f t="shared" si="4"/>
        <v>38.531058747951313</v>
      </c>
      <c r="M53" s="1">
        <f t="shared" si="5"/>
        <v>34.973854239814948</v>
      </c>
      <c r="N53" s="1">
        <f t="shared" si="6"/>
        <v>18.87318210815879</v>
      </c>
      <c r="O53" s="41"/>
    </row>
    <row r="54" spans="1:15" x14ac:dyDescent="0.25">
      <c r="A54" s="41" t="s">
        <v>282</v>
      </c>
      <c r="B54" s="1">
        <v>38.840909090909101</v>
      </c>
      <c r="C54">
        <v>52</v>
      </c>
      <c r="D54">
        <f t="shared" si="0"/>
        <v>2704</v>
      </c>
      <c r="E54" s="1">
        <v>34.25226080084451</v>
      </c>
      <c r="F54" s="1">
        <v>21.055693129912687</v>
      </c>
      <c r="G54" s="1">
        <v>0.21808393041658597</v>
      </c>
      <c r="H54" s="1">
        <v>25.559524750250773</v>
      </c>
      <c r="I54" s="1">
        <f t="shared" si="1"/>
        <v>4.5886482900645902</v>
      </c>
      <c r="J54" s="1">
        <v>0.44727471415567188</v>
      </c>
      <c r="K54" s="1">
        <f t="shared" si="3"/>
        <v>0.44727471415567188</v>
      </c>
      <c r="L54" s="1">
        <f t="shared" si="4"/>
        <v>38.393634376753425</v>
      </c>
      <c r="M54" s="1">
        <f t="shared" si="5"/>
        <v>34.699535515000186</v>
      </c>
      <c r="N54" s="1">
        <f t="shared" si="6"/>
        <v>17.150975095236593</v>
      </c>
      <c r="O54" s="41"/>
    </row>
    <row r="55" spans="1:15" x14ac:dyDescent="0.25">
      <c r="A55" s="41" t="s">
        <v>283</v>
      </c>
      <c r="B55" s="1">
        <v>35.690476190476197</v>
      </c>
      <c r="C55">
        <v>53</v>
      </c>
      <c r="D55">
        <f t="shared" si="0"/>
        <v>2809</v>
      </c>
      <c r="E55" s="1">
        <v>34.319062852129029</v>
      </c>
      <c r="F55" s="1">
        <v>1.8807745445965229</v>
      </c>
      <c r="G55" s="1">
        <v>13.085781519389977</v>
      </c>
      <c r="H55" s="1">
        <v>24.888532636790988</v>
      </c>
      <c r="I55" s="1">
        <f t="shared" si="1"/>
        <v>1.3714133383471676</v>
      </c>
      <c r="J55" s="1">
        <v>-5.3186412544197974E-2</v>
      </c>
      <c r="K55" s="1">
        <f t="shared" si="3"/>
        <v>-5.3186412544197974E-2</v>
      </c>
      <c r="L55" s="1">
        <f t="shared" si="4"/>
        <v>35.743662603020397</v>
      </c>
      <c r="M55" s="1">
        <f t="shared" si="5"/>
        <v>34.265876439584829</v>
      </c>
      <c r="N55" s="1">
        <f t="shared" si="6"/>
        <v>2.0294844502397464</v>
      </c>
      <c r="O55" s="41"/>
    </row>
    <row r="56" spans="1:15" x14ac:dyDescent="0.25">
      <c r="A56" s="41" t="s">
        <v>284</v>
      </c>
      <c r="B56" s="1">
        <v>36.045454545454497</v>
      </c>
      <c r="C56">
        <v>54</v>
      </c>
      <c r="D56">
        <f t="shared" si="0"/>
        <v>2916</v>
      </c>
      <c r="E56" s="1">
        <v>34.387137323438012</v>
      </c>
      <c r="F56" s="1">
        <v>2.7500160088364733</v>
      </c>
      <c r="G56" s="1">
        <v>10.643574244952241</v>
      </c>
      <c r="H56" s="1">
        <v>24.21394136913765</v>
      </c>
      <c r="I56" s="1">
        <f t="shared" si="1"/>
        <v>1.6583172220164855</v>
      </c>
      <c r="J56" s="1">
        <v>-0.38758612468901388</v>
      </c>
      <c r="K56" s="1">
        <f t="shared" si="3"/>
        <v>-0.38758612468901388</v>
      </c>
      <c r="L56" s="1">
        <f t="shared" si="4"/>
        <v>36.433040670143512</v>
      </c>
      <c r="M56" s="1">
        <f t="shared" si="5"/>
        <v>33.999551198748996</v>
      </c>
      <c r="N56" s="1">
        <f t="shared" si="6"/>
        <v>4.1857205040607681</v>
      </c>
      <c r="O56" s="41"/>
    </row>
    <row r="57" spans="1:15" x14ac:dyDescent="0.25">
      <c r="A57" s="41" t="s">
        <v>285</v>
      </c>
      <c r="B57" s="1">
        <v>36.2826086956522</v>
      </c>
      <c r="C57">
        <v>55</v>
      </c>
      <c r="D57">
        <f t="shared" si="0"/>
        <v>3025</v>
      </c>
      <c r="E57" s="1">
        <v>34.456484214771464</v>
      </c>
      <c r="F57" s="1">
        <v>3.3347306196719382</v>
      </c>
      <c r="G57" s="1">
        <v>9.1524096398111965</v>
      </c>
      <c r="H57" s="1">
        <v>23.536270663213379</v>
      </c>
      <c r="I57" s="1">
        <f t="shared" si="1"/>
        <v>1.8261244808807362</v>
      </c>
      <c r="J57" s="1">
        <v>-1.057971269155332</v>
      </c>
      <c r="K57" s="1">
        <f t="shared" si="3"/>
        <v>-1.057971269155332</v>
      </c>
      <c r="L57" s="1">
        <f t="shared" si="4"/>
        <v>37.340579964807532</v>
      </c>
      <c r="M57" s="1">
        <f t="shared" si="5"/>
        <v>33.398512945616133</v>
      </c>
      <c r="N57" s="1">
        <f t="shared" si="6"/>
        <v>8.3180082953761065</v>
      </c>
      <c r="O57" s="41"/>
    </row>
    <row r="58" spans="1:15" x14ac:dyDescent="0.25">
      <c r="A58" s="41" t="s">
        <v>286</v>
      </c>
      <c r="B58" s="1">
        <v>36.095238095238102</v>
      </c>
      <c r="C58">
        <v>56</v>
      </c>
      <c r="D58">
        <f t="shared" si="0"/>
        <v>3136</v>
      </c>
      <c r="E58" s="1">
        <v>34.527103526129387</v>
      </c>
      <c r="F58" s="1">
        <v>2.4590460268337737</v>
      </c>
      <c r="G58" s="1">
        <v>10.321220050655908</v>
      </c>
      <c r="H58" s="1">
        <v>22.856049949257176</v>
      </c>
      <c r="I58" s="1">
        <f t="shared" si="1"/>
        <v>1.5681345691087145</v>
      </c>
      <c r="J58" s="1">
        <v>-1.3968802865950825</v>
      </c>
      <c r="K58" s="1">
        <f t="shared" si="3"/>
        <v>-1.3968802865950825</v>
      </c>
      <c r="L58" s="1">
        <f t="shared" si="4"/>
        <v>37.492118381833187</v>
      </c>
      <c r="M58" s="1">
        <f t="shared" si="5"/>
        <v>33.130223239534303</v>
      </c>
      <c r="N58" s="1">
        <f t="shared" si="6"/>
        <v>8.7913130945442219</v>
      </c>
      <c r="O58" s="41"/>
    </row>
    <row r="59" spans="1:15" x14ac:dyDescent="0.25">
      <c r="A59" s="41" t="s">
        <v>287</v>
      </c>
      <c r="B59" s="1">
        <v>37.056818181818201</v>
      </c>
      <c r="C59">
        <v>57</v>
      </c>
      <c r="D59">
        <f t="shared" si="0"/>
        <v>3249</v>
      </c>
      <c r="E59" s="1">
        <v>34.598995257511774</v>
      </c>
      <c r="F59" s="1">
        <v>6.0408935272461974</v>
      </c>
      <c r="G59" s="1">
        <v>5.0673858438488688</v>
      </c>
      <c r="H59" s="1">
        <v>22.173818371824428</v>
      </c>
      <c r="I59" s="1">
        <f t="shared" si="1"/>
        <v>2.4578229243064271</v>
      </c>
      <c r="J59" s="1">
        <v>0.26415847466672415</v>
      </c>
      <c r="K59" s="1">
        <f t="shared" si="3"/>
        <v>0.26415847466672415</v>
      </c>
      <c r="L59" s="1">
        <f t="shared" si="4"/>
        <v>36.792659707151479</v>
      </c>
      <c r="M59" s="1">
        <f t="shared" si="5"/>
        <v>34.863153732178496</v>
      </c>
      <c r="N59" s="1">
        <f t="shared" si="6"/>
        <v>4.8121637176130703</v>
      </c>
      <c r="O59" s="41"/>
    </row>
    <row r="60" spans="1:15" x14ac:dyDescent="0.25">
      <c r="A60" s="41" t="s">
        <v>288</v>
      </c>
      <c r="B60" s="1">
        <v>37.238636363636402</v>
      </c>
      <c r="C60">
        <v>58</v>
      </c>
      <c r="D60">
        <f t="shared" si="0"/>
        <v>3364</v>
      </c>
      <c r="E60" s="1">
        <v>34.672159408918624</v>
      </c>
      <c r="F60" s="1">
        <v>6.5868039590974412</v>
      </c>
      <c r="G60" s="1">
        <v>4.2818671564557835</v>
      </c>
      <c r="H60" s="1">
        <v>21.490124789786758</v>
      </c>
      <c r="I60" s="1">
        <f t="shared" si="1"/>
        <v>2.5664769547177784</v>
      </c>
      <c r="J60" s="1">
        <v>-9.9088507363074521E-2</v>
      </c>
      <c r="K60" s="1">
        <f t="shared" si="3"/>
        <v>-9.9088507363074521E-2</v>
      </c>
      <c r="L60" s="1">
        <f t="shared" si="4"/>
        <v>37.33772487099948</v>
      </c>
      <c r="M60" s="1">
        <f t="shared" si="5"/>
        <v>34.573070901555546</v>
      </c>
      <c r="N60" s="1">
        <f t="shared" si="6"/>
        <v>7.1052392326383282</v>
      </c>
      <c r="O60" s="41"/>
    </row>
    <row r="61" spans="1:15" x14ac:dyDescent="0.25">
      <c r="A61" s="41" t="s">
        <v>289</v>
      </c>
      <c r="B61" s="1">
        <v>35.964285714285701</v>
      </c>
      <c r="C61">
        <v>59</v>
      </c>
      <c r="D61">
        <f t="shared" si="0"/>
        <v>3481</v>
      </c>
      <c r="E61" s="1">
        <v>34.746595980349944</v>
      </c>
      <c r="F61" s="1">
        <v>1.4827682881325337</v>
      </c>
      <c r="G61" s="1">
        <v>11.17978098735265</v>
      </c>
      <c r="H61" s="1">
        <v>20.805527776332042</v>
      </c>
      <c r="I61" s="1">
        <f t="shared" si="1"/>
        <v>1.2176897339357566</v>
      </c>
      <c r="J61" s="1">
        <v>-1.2980983239688675</v>
      </c>
      <c r="K61" s="1">
        <f t="shared" si="3"/>
        <v>-1.2980983239688675</v>
      </c>
      <c r="L61" s="1">
        <f t="shared" si="4"/>
        <v>37.262384038254567</v>
      </c>
      <c r="M61" s="1">
        <f t="shared" si="5"/>
        <v>33.448497656381079</v>
      </c>
      <c r="N61" s="1">
        <f t="shared" si="6"/>
        <v>6.3291895522955102</v>
      </c>
      <c r="O61" s="41"/>
    </row>
    <row r="62" spans="1:15" x14ac:dyDescent="0.25">
      <c r="A62" s="42" t="s">
        <v>290</v>
      </c>
      <c r="B62" s="43">
        <v>35.163043478260903</v>
      </c>
      <c r="C62" s="44">
        <v>60</v>
      </c>
      <c r="D62" s="44">
        <f t="shared" si="0"/>
        <v>3600</v>
      </c>
      <c r="E62" s="43">
        <v>34.822304971805728</v>
      </c>
      <c r="F62" s="43">
        <v>0.11610272978130311</v>
      </c>
      <c r="G62" s="43">
        <v>17.179865951516689</v>
      </c>
      <c r="H62" s="43">
        <v>20.120595618964597</v>
      </c>
      <c r="I62" s="43">
        <f t="shared" si="1"/>
        <v>0.34073850645517467</v>
      </c>
      <c r="J62" s="43">
        <v>-0.81543195478137964</v>
      </c>
      <c r="K62" s="43">
        <f t="shared" si="3"/>
        <v>-0.81543195478137964</v>
      </c>
      <c r="L62" s="43">
        <f t="shared" si="4"/>
        <v>35.978475433042284</v>
      </c>
      <c r="M62" s="43">
        <f t="shared" si="5"/>
        <v>34.006873017024347</v>
      </c>
      <c r="N62" s="43">
        <f t="shared" si="6"/>
        <v>1.3367301354359507</v>
      </c>
      <c r="O62" s="41"/>
    </row>
    <row r="63" spans="1:15" x14ac:dyDescent="0.25">
      <c r="A63" s="38" t="s">
        <v>291</v>
      </c>
      <c r="B63" s="39">
        <v>34.690476190476197</v>
      </c>
      <c r="C63" s="40">
        <v>61</v>
      </c>
      <c r="D63" s="40">
        <f t="shared" si="0"/>
        <v>3721</v>
      </c>
      <c r="E63" s="39">
        <v>34.899286383285983</v>
      </c>
      <c r="F63" s="39">
        <v>4.3601696621259851E-2</v>
      </c>
      <c r="G63" s="39">
        <v>21.320636464553697</v>
      </c>
      <c r="H63" s="39">
        <v>19.435906319504916</v>
      </c>
      <c r="I63" s="39">
        <f t="shared" si="1"/>
        <v>-0.20881019280978563</v>
      </c>
      <c r="J63" s="1">
        <v>1.8112585460347563</v>
      </c>
      <c r="K63" s="1">
        <f t="shared" si="3"/>
        <v>1.8112585460347563</v>
      </c>
      <c r="L63" s="1">
        <f t="shared" si="4"/>
        <v>32.879217644441439</v>
      </c>
      <c r="M63" s="1">
        <f t="shared" si="5"/>
        <v>36.71054492932074</v>
      </c>
      <c r="N63" s="1">
        <f t="shared" si="6"/>
        <v>4.0806777096569826</v>
      </c>
      <c r="O63" s="41"/>
    </row>
    <row r="64" spans="1:15" x14ac:dyDescent="0.25">
      <c r="A64" s="41" t="s">
        <v>292</v>
      </c>
      <c r="B64" s="1">
        <v>34.007142857142902</v>
      </c>
      <c r="C64">
        <v>62</v>
      </c>
      <c r="D64">
        <f t="shared" si="0"/>
        <v>3844</v>
      </c>
      <c r="E64" s="1">
        <v>34.977540214790707</v>
      </c>
      <c r="F64" s="1">
        <v>0.94167103172984179</v>
      </c>
      <c r="G64" s="1">
        <v>28.098065121526268</v>
      </c>
      <c r="H64" s="1">
        <v>18.752047594089884</v>
      </c>
      <c r="I64" s="1">
        <f t="shared" si="1"/>
        <v>-0.97039735764780488</v>
      </c>
      <c r="J64" s="1">
        <v>1.7118881857449326</v>
      </c>
      <c r="K64" s="1">
        <f t="shared" si="3"/>
        <v>1.7118881857449326</v>
      </c>
      <c r="L64" s="1">
        <f t="shared" si="4"/>
        <v>32.29525467139797</v>
      </c>
      <c r="M64" s="1">
        <f t="shared" si="5"/>
        <v>36.68942840053564</v>
      </c>
      <c r="N64" s="1">
        <f t="shared" si="6"/>
        <v>7.1946557362936723</v>
      </c>
      <c r="O64" s="41"/>
    </row>
    <row r="65" spans="1:15" x14ac:dyDescent="0.25">
      <c r="A65" s="41" t="s">
        <v>293</v>
      </c>
      <c r="B65" s="1">
        <v>30.1065217391304</v>
      </c>
      <c r="C65">
        <v>63</v>
      </c>
      <c r="D65">
        <f t="shared" si="0"/>
        <v>3969</v>
      </c>
      <c r="E65" s="1">
        <v>35.057066466319895</v>
      </c>
      <c r="F65" s="1">
        <v>24.507893095903711</v>
      </c>
      <c r="G65" s="1">
        <v>84.665429309982613</v>
      </c>
      <c r="H65" s="1">
        <v>18.069616873172745</v>
      </c>
      <c r="I65" s="1">
        <f t="shared" si="1"/>
        <v>-4.9505447271894951</v>
      </c>
      <c r="J65" s="1">
        <v>0.78712307023048333</v>
      </c>
      <c r="K65" s="1">
        <f t="shared" si="3"/>
        <v>0.78712307023048333</v>
      </c>
      <c r="L65" s="1">
        <f t="shared" si="4"/>
        <v>29.319398668899918</v>
      </c>
      <c r="M65" s="1">
        <f t="shared" si="5"/>
        <v>35.844189536550381</v>
      </c>
      <c r="N65" s="1">
        <f t="shared" si="6"/>
        <v>32.920831753550253</v>
      </c>
      <c r="O65" s="41"/>
    </row>
    <row r="66" spans="1:15" x14ac:dyDescent="0.25">
      <c r="A66" s="41" t="s">
        <v>294</v>
      </c>
      <c r="B66" s="1">
        <v>27.816666666666698</v>
      </c>
      <c r="C66">
        <v>64</v>
      </c>
      <c r="D66">
        <f t="shared" si="0"/>
        <v>4096</v>
      </c>
      <c r="E66" s="1">
        <v>35.137865137873547</v>
      </c>
      <c r="F66" s="1">
        <v>53.599947054801497</v>
      </c>
      <c r="G66" s="1">
        <v>132.04852770723346</v>
      </c>
      <c r="H66" s="1">
        <v>17.389221301522998</v>
      </c>
      <c r="I66" s="1">
        <f t="shared" si="1"/>
        <v>-7.3211984712068485</v>
      </c>
      <c r="J66" s="1">
        <v>0.44727471415567188</v>
      </c>
      <c r="K66" s="1">
        <f t="shared" si="3"/>
        <v>0.44727471415567188</v>
      </c>
      <c r="L66" s="1">
        <f t="shared" si="4"/>
        <v>27.369391952511027</v>
      </c>
      <c r="M66" s="1">
        <f t="shared" si="5"/>
        <v>35.585139852029222</v>
      </c>
      <c r="N66" s="1">
        <f t="shared" si="6"/>
        <v>60.349175631696554</v>
      </c>
      <c r="O66" s="41"/>
    </row>
    <row r="67" spans="1:15" x14ac:dyDescent="0.25">
      <c r="A67" s="41" t="s">
        <v>295</v>
      </c>
      <c r="B67" s="1">
        <v>27.954545454545499</v>
      </c>
      <c r="C67">
        <v>65</v>
      </c>
      <c r="D67">
        <f t="shared" si="0"/>
        <v>4225</v>
      </c>
      <c r="E67" s="1">
        <v>35.219936229451669</v>
      </c>
      <c r="F67" s="1">
        <v>52.785903112091667</v>
      </c>
      <c r="G67" s="1">
        <v>128.89874261079945</v>
      </c>
      <c r="H67" s="1">
        <v>16.711477738226392</v>
      </c>
      <c r="I67" s="1">
        <f t="shared" si="1"/>
        <v>-7.2653907749061695</v>
      </c>
      <c r="J67" s="1">
        <v>-5.3186412544197974E-2</v>
      </c>
      <c r="K67" s="1">
        <f t="shared" si="3"/>
        <v>-5.3186412544197974E-2</v>
      </c>
      <c r="L67" s="1">
        <f t="shared" si="4"/>
        <v>28.007731867089696</v>
      </c>
      <c r="M67" s="1">
        <f t="shared" si="5"/>
        <v>35.166749816907469</v>
      </c>
      <c r="N67" s="1">
        <f t="shared" si="6"/>
        <v>52.015891764473025</v>
      </c>
      <c r="O67" s="41"/>
    </row>
    <row r="68" spans="1:15" x14ac:dyDescent="0.25">
      <c r="A68" s="41" t="s">
        <v>296</v>
      </c>
      <c r="B68" s="1">
        <v>27.352272727272702</v>
      </c>
      <c r="C68">
        <v>66</v>
      </c>
      <c r="D68">
        <f t="shared" ref="D68:D131" si="7">C68^2</f>
        <v>4356</v>
      </c>
      <c r="E68" s="1">
        <v>35.303279741054261</v>
      </c>
      <c r="F68" s="1">
        <v>63.218512533203551</v>
      </c>
      <c r="G68" s="1">
        <v>142.93711107270778</v>
      </c>
      <c r="H68" s="1">
        <v>16.037012756685055</v>
      </c>
      <c r="I68" s="1">
        <f t="shared" ref="I68:I131" si="8">B68-E68</f>
        <v>-7.9510070137815596</v>
      </c>
      <c r="J68" s="1">
        <v>-0.38758612468901388</v>
      </c>
      <c r="K68" s="1">
        <f t="shared" ref="K68:K131" si="9">J68-I249</f>
        <v>-0.38758612468901388</v>
      </c>
      <c r="L68" s="1">
        <f t="shared" ref="L68:L131" si="10">B68-K68</f>
        <v>27.739858851961717</v>
      </c>
      <c r="M68" s="1">
        <f t="shared" ref="M68:M131" si="11">E68+K68</f>
        <v>34.915693616365246</v>
      </c>
      <c r="N68" s="1">
        <f t="shared" ref="N68:N131" si="12">(B68-M68)^2</f>
        <v>57.205335545561454</v>
      </c>
      <c r="O68" s="41"/>
    </row>
    <row r="69" spans="1:15" x14ac:dyDescent="0.25">
      <c r="A69" s="41" t="s">
        <v>297</v>
      </c>
      <c r="B69" s="1">
        <v>25.845238095238098</v>
      </c>
      <c r="C69">
        <v>67</v>
      </c>
      <c r="D69">
        <f t="shared" si="7"/>
        <v>4489</v>
      </c>
      <c r="E69" s="1">
        <v>35.387895672681317</v>
      </c>
      <c r="F69" s="1">
        <v>91.06231364033448</v>
      </c>
      <c r="G69" s="1">
        <v>181.24336419096505</v>
      </c>
      <c r="H69" s="1">
        <v>15.366462644617478</v>
      </c>
      <c r="I69" s="1">
        <f t="shared" si="8"/>
        <v>-9.5426575774432187</v>
      </c>
      <c r="J69" s="1">
        <v>-1.057971269155332</v>
      </c>
      <c r="K69" s="1">
        <f t="shared" si="9"/>
        <v>-1.057971269155332</v>
      </c>
      <c r="L69" s="1">
        <f t="shared" si="10"/>
        <v>26.90320936439343</v>
      </c>
      <c r="M69" s="1">
        <f t="shared" si="11"/>
        <v>34.329924403525986</v>
      </c>
      <c r="N69" s="1">
        <f t="shared" si="12"/>
        <v>71.989901750047949</v>
      </c>
      <c r="O69" s="41"/>
    </row>
    <row r="70" spans="1:15" x14ac:dyDescent="0.25">
      <c r="A70" s="41" t="s">
        <v>298</v>
      </c>
      <c r="B70" s="1">
        <v>25.902173913043502</v>
      </c>
      <c r="C70">
        <v>68</v>
      </c>
      <c r="D70">
        <f t="shared" si="7"/>
        <v>4624</v>
      </c>
      <c r="E70" s="1">
        <v>35.473784024332836</v>
      </c>
      <c r="F70" s="1">
        <v>91.615720122536231</v>
      </c>
      <c r="G70" s="1">
        <v>179.7135901304253</v>
      </c>
      <c r="H70" s="1">
        <v>14.700473404058409</v>
      </c>
      <c r="I70" s="1">
        <f t="shared" si="8"/>
        <v>-9.5716101112893348</v>
      </c>
      <c r="J70" s="1">
        <v>-1.3968802865950825</v>
      </c>
      <c r="K70" s="1">
        <f t="shared" si="9"/>
        <v>-1.3968802865950825</v>
      </c>
      <c r="L70" s="1">
        <f t="shared" si="10"/>
        <v>27.299054199638583</v>
      </c>
      <c r="M70" s="1">
        <f t="shared" si="11"/>
        <v>34.076903737737751</v>
      </c>
      <c r="N70" s="1">
        <f t="shared" si="12"/>
        <v>66.826207706745677</v>
      </c>
      <c r="O70" s="41"/>
    </row>
    <row r="71" spans="1:15" x14ac:dyDescent="0.25">
      <c r="A71" s="41" t="s">
        <v>299</v>
      </c>
      <c r="B71" s="1">
        <v>24.875</v>
      </c>
      <c r="C71">
        <v>69</v>
      </c>
      <c r="D71">
        <f t="shared" si="7"/>
        <v>4761</v>
      </c>
      <c r="E71" s="1">
        <v>35.560944796008826</v>
      </c>
      <c r="F71" s="1">
        <v>114.18941618334811</v>
      </c>
      <c r="G71" s="1">
        <v>208.30870814711466</v>
      </c>
      <c r="H71" s="1">
        <v>14.039700751358849</v>
      </c>
      <c r="I71" s="1">
        <f t="shared" si="8"/>
        <v>-10.685944796008826</v>
      </c>
      <c r="J71" s="1">
        <v>0.26415847466672415</v>
      </c>
      <c r="K71" s="1">
        <f t="shared" si="9"/>
        <v>0.26415847466672415</v>
      </c>
      <c r="L71" s="1">
        <f t="shared" si="10"/>
        <v>24.610841525333274</v>
      </c>
      <c r="M71" s="1">
        <f t="shared" si="11"/>
        <v>35.825103270675548</v>
      </c>
      <c r="N71" s="1">
        <f t="shared" si="12"/>
        <v>119.90476163845933</v>
      </c>
      <c r="O71" s="41"/>
    </row>
    <row r="72" spans="1:15" x14ac:dyDescent="0.25">
      <c r="A72" s="41" t="s">
        <v>300</v>
      </c>
      <c r="B72" s="1">
        <v>21.488095238095202</v>
      </c>
      <c r="C72">
        <v>70</v>
      </c>
      <c r="D72">
        <f t="shared" si="7"/>
        <v>4900</v>
      </c>
      <c r="E72" s="1">
        <v>35.649377987709286</v>
      </c>
      <c r="F72" s="1">
        <v>200.54192911451744</v>
      </c>
      <c r="G72" s="1">
        <v>317.54557230237714</v>
      </c>
      <c r="H72" s="1">
        <v>13.384810117186172</v>
      </c>
      <c r="I72" s="1">
        <f t="shared" si="8"/>
        <v>-14.161282749614085</v>
      </c>
      <c r="J72" s="1">
        <v>-9.9088507363074521E-2</v>
      </c>
      <c r="K72" s="1">
        <f t="shared" si="9"/>
        <v>-9.9088507363074521E-2</v>
      </c>
      <c r="L72" s="1">
        <f t="shared" si="10"/>
        <v>21.587183745458276</v>
      </c>
      <c r="M72" s="1">
        <f t="shared" si="11"/>
        <v>35.550289480346208</v>
      </c>
      <c r="N72" s="1">
        <f t="shared" si="12"/>
        <v>197.74530690679737</v>
      </c>
      <c r="O72" s="41"/>
    </row>
    <row r="73" spans="1:15" x14ac:dyDescent="0.25">
      <c r="A73" s="41" t="s">
        <v>301</v>
      </c>
      <c r="B73" s="1">
        <v>18.568181818181799</v>
      </c>
      <c r="C73">
        <v>71</v>
      </c>
      <c r="D73">
        <f t="shared" si="7"/>
        <v>5041</v>
      </c>
      <c r="E73" s="1">
        <v>35.73908359943421</v>
      </c>
      <c r="F73" s="1">
        <v>294.83986798141723</v>
      </c>
      <c r="G73" s="1">
        <v>430.13606220283742</v>
      </c>
      <c r="H73" s="1">
        <v>12.736476646524114</v>
      </c>
      <c r="I73" s="1">
        <f t="shared" si="8"/>
        <v>-17.170901781252411</v>
      </c>
      <c r="J73" s="1">
        <v>-1.2980983239688675</v>
      </c>
      <c r="K73" s="1">
        <f t="shared" si="9"/>
        <v>-1.2980983239688675</v>
      </c>
      <c r="L73" s="1">
        <f t="shared" si="10"/>
        <v>19.866280142150668</v>
      </c>
      <c r="M73" s="1">
        <f t="shared" si="11"/>
        <v>34.440985275465344</v>
      </c>
      <c r="N73" s="1">
        <f t="shared" si="12"/>
        <v>251.94588959355247</v>
      </c>
      <c r="O73" s="41"/>
    </row>
    <row r="74" spans="1:15" x14ac:dyDescent="0.25">
      <c r="A74" s="42" t="s">
        <v>302</v>
      </c>
      <c r="B74" s="43">
        <v>19.215909090909101</v>
      </c>
      <c r="C74" s="44">
        <v>72</v>
      </c>
      <c r="D74" s="44">
        <f t="shared" si="7"/>
        <v>5184</v>
      </c>
      <c r="E74" s="43">
        <v>35.830061631183604</v>
      </c>
      <c r="F74" s="43">
        <v>276.03006463150973</v>
      </c>
      <c r="G74" s="43">
        <v>403.68824588726307</v>
      </c>
      <c r="H74" s="43">
        <v>12.095385198672618</v>
      </c>
      <c r="I74" s="43">
        <f t="shared" si="8"/>
        <v>-16.614152540274503</v>
      </c>
      <c r="J74" s="43">
        <v>-0.81543195478137964</v>
      </c>
      <c r="K74" s="43">
        <f t="shared" si="9"/>
        <v>-0.81543195478137964</v>
      </c>
      <c r="L74" s="43">
        <f t="shared" si="10"/>
        <v>20.031341045690482</v>
      </c>
      <c r="M74" s="43">
        <f t="shared" si="11"/>
        <v>35.014629676402222</v>
      </c>
      <c r="N74" s="43">
        <f t="shared" si="12"/>
        <v>249.59957213848412</v>
      </c>
      <c r="O74" s="41"/>
    </row>
    <row r="75" spans="1:15" x14ac:dyDescent="0.25">
      <c r="A75" s="38" t="s">
        <v>303</v>
      </c>
      <c r="B75" s="39">
        <v>22.170454545454501</v>
      </c>
      <c r="C75" s="40">
        <v>73</v>
      </c>
      <c r="D75" s="40">
        <f t="shared" si="7"/>
        <v>5329</v>
      </c>
      <c r="E75" s="39">
        <v>35.922312082957461</v>
      </c>
      <c r="F75" s="39">
        <v>189.11358573177699</v>
      </c>
      <c r="G75" s="39">
        <v>293.69216225845088</v>
      </c>
      <c r="H75" s="39">
        <v>11.462230347248044</v>
      </c>
      <c r="I75" s="39">
        <f t="shared" si="8"/>
        <v>-13.751857537502961</v>
      </c>
      <c r="J75" s="1">
        <v>1.8112585460347563</v>
      </c>
      <c r="K75" s="1">
        <f t="shared" si="9"/>
        <v>1.8112585460347563</v>
      </c>
      <c r="L75" s="1">
        <f t="shared" si="10"/>
        <v>20.359195999419743</v>
      </c>
      <c r="M75" s="1">
        <f t="shared" si="11"/>
        <v>37.733570628992219</v>
      </c>
      <c r="N75" s="1">
        <f t="shared" si="12"/>
        <v>242.21058222967039</v>
      </c>
      <c r="O75" s="41"/>
    </row>
    <row r="76" spans="1:15" x14ac:dyDescent="0.25">
      <c r="A76" s="41" t="s">
        <v>304</v>
      </c>
      <c r="B76" s="1">
        <v>25.15</v>
      </c>
      <c r="C76">
        <v>74</v>
      </c>
      <c r="D76">
        <f t="shared" si="7"/>
        <v>5476</v>
      </c>
      <c r="E76" s="1">
        <v>36.015834954755782</v>
      </c>
      <c r="F76" s="1">
        <v>118.06636926399261</v>
      </c>
      <c r="G76" s="1">
        <v>200.44623613243277</v>
      </c>
      <c r="H76" s="1">
        <v>10.837716380183004</v>
      </c>
      <c r="I76" s="1">
        <f t="shared" si="8"/>
        <v>-10.865834954755783</v>
      </c>
      <c r="J76" s="1">
        <v>1.7118881857449326</v>
      </c>
      <c r="K76" s="1">
        <f t="shared" si="9"/>
        <v>1.7118881857449326</v>
      </c>
      <c r="L76" s="1">
        <f t="shared" si="10"/>
        <v>23.438111814255066</v>
      </c>
      <c r="M76" s="1">
        <f t="shared" si="11"/>
        <v>37.727723140500714</v>
      </c>
      <c r="N76" s="1">
        <f t="shared" si="12"/>
        <v>158.19911939908718</v>
      </c>
      <c r="O76" s="41"/>
    </row>
    <row r="77" spans="1:15" x14ac:dyDescent="0.25">
      <c r="A77" s="41" t="s">
        <v>305</v>
      </c>
      <c r="B77" s="1">
        <v>24.6413043478261</v>
      </c>
      <c r="C77">
        <v>75</v>
      </c>
      <c r="D77">
        <f t="shared" si="7"/>
        <v>5625</v>
      </c>
      <c r="E77" s="1">
        <v>36.11063024657858</v>
      </c>
      <c r="F77" s="1">
        <v>131.54543657179437</v>
      </c>
      <c r="G77" s="1">
        <v>215.10913547356247</v>
      </c>
      <c r="H77" s="1">
        <v>10.22255729972634</v>
      </c>
      <c r="I77" s="1">
        <f t="shared" si="8"/>
        <v>-11.46932589875248</v>
      </c>
      <c r="J77" s="1">
        <v>0.78712307023048333</v>
      </c>
      <c r="K77" s="1">
        <f t="shared" si="9"/>
        <v>0.78712307023048333</v>
      </c>
      <c r="L77" s="1">
        <f t="shared" si="10"/>
        <v>23.854181277595618</v>
      </c>
      <c r="M77" s="1">
        <f t="shared" si="11"/>
        <v>36.897753316809066</v>
      </c>
      <c r="N77" s="1">
        <f t="shared" si="12"/>
        <v>150.22054132928361</v>
      </c>
      <c r="O77" s="41"/>
    </row>
    <row r="78" spans="1:15" x14ac:dyDescent="0.25">
      <c r="A78" s="41" t="s">
        <v>306</v>
      </c>
      <c r="B78" s="1">
        <v>23.25</v>
      </c>
      <c r="C78">
        <v>76</v>
      </c>
      <c r="D78">
        <f t="shared" si="7"/>
        <v>5776</v>
      </c>
      <c r="E78" s="1">
        <v>36.206697958425835</v>
      </c>
      <c r="F78" s="1">
        <v>167.87602198587621</v>
      </c>
      <c r="G78" s="1">
        <v>257.85627005205333</v>
      </c>
      <c r="H78" s="1">
        <v>9.6174768224434324</v>
      </c>
      <c r="I78" s="1">
        <f t="shared" si="8"/>
        <v>-12.956697958425835</v>
      </c>
      <c r="J78" s="1">
        <v>0.44727471415567188</v>
      </c>
      <c r="K78" s="1">
        <f t="shared" si="9"/>
        <v>0.44727471415567188</v>
      </c>
      <c r="L78" s="1">
        <f t="shared" si="10"/>
        <v>22.802725285844328</v>
      </c>
      <c r="M78" s="1">
        <f t="shared" si="11"/>
        <v>36.65397267258151</v>
      </c>
      <c r="N78" s="1">
        <f t="shared" si="12"/>
        <v>179.66648340731192</v>
      </c>
      <c r="O78" s="41"/>
    </row>
    <row r="79" spans="1:15" x14ac:dyDescent="0.25">
      <c r="A79" s="41" t="s">
        <v>307</v>
      </c>
      <c r="B79" s="1">
        <v>21.6413043478261</v>
      </c>
      <c r="C79">
        <v>77</v>
      </c>
      <c r="D79">
        <f t="shared" si="7"/>
        <v>5929</v>
      </c>
      <c r="E79" s="1">
        <v>36.30403809029756</v>
      </c>
      <c r="F79" s="1">
        <v>214.9957608026111</v>
      </c>
      <c r="G79" s="1">
        <v>312.10873136495422</v>
      </c>
      <c r="H79" s="1">
        <v>9.0232083792157436</v>
      </c>
      <c r="I79" s="1">
        <f t="shared" si="8"/>
        <v>-14.66273374247146</v>
      </c>
      <c r="J79" s="1">
        <v>-5.3186412544197974E-2</v>
      </c>
      <c r="K79" s="1">
        <f t="shared" si="9"/>
        <v>-5.3186412544197974E-2</v>
      </c>
      <c r="L79" s="1">
        <f t="shared" si="10"/>
        <v>21.694490760370297</v>
      </c>
      <c r="M79" s="1">
        <f t="shared" si="11"/>
        <v>36.25085167775336</v>
      </c>
      <c r="N79" s="1">
        <f t="shared" si="12"/>
        <v>213.43887318538472</v>
      </c>
      <c r="O79" s="41"/>
    </row>
    <row r="80" spans="1:15" x14ac:dyDescent="0.25">
      <c r="A80" s="41" t="s">
        <v>308</v>
      </c>
      <c r="B80" s="1">
        <v>19.75</v>
      </c>
      <c r="C80">
        <v>78</v>
      </c>
      <c r="D80">
        <f t="shared" si="7"/>
        <v>6084</v>
      </c>
      <c r="E80" s="1">
        <v>36.402650642193755</v>
      </c>
      <c r="F80" s="1">
        <v>277.31077341095607</v>
      </c>
      <c r="G80" s="1">
        <v>382.51159569345975</v>
      </c>
      <c r="H80" s="1">
        <v>8.4404951152411449</v>
      </c>
      <c r="I80" s="1">
        <f t="shared" si="8"/>
        <v>-16.652650642193755</v>
      </c>
      <c r="J80" s="1">
        <v>-0.38758612468901388</v>
      </c>
      <c r="K80" s="1">
        <f t="shared" si="9"/>
        <v>-0.38758612468901388</v>
      </c>
      <c r="L80" s="1">
        <f t="shared" si="10"/>
        <v>20.137586124689015</v>
      </c>
      <c r="M80" s="1">
        <f t="shared" si="11"/>
        <v>36.01506451750474</v>
      </c>
      <c r="N80" s="1">
        <f t="shared" si="12"/>
        <v>264.55232375859168</v>
      </c>
      <c r="O80" s="41"/>
    </row>
    <row r="81" spans="1:15" x14ac:dyDescent="0.25">
      <c r="A81" s="41" t="s">
        <v>309</v>
      </c>
      <c r="B81" s="1">
        <v>20.3642857142857</v>
      </c>
      <c r="C81">
        <v>79</v>
      </c>
      <c r="D81">
        <f t="shared" si="7"/>
        <v>6241</v>
      </c>
      <c r="E81" s="1">
        <v>36.502535614114414</v>
      </c>
      <c r="F81" s="1">
        <v>260.44310982932154</v>
      </c>
      <c r="G81" s="1">
        <v>358.86066098905019</v>
      </c>
      <c r="H81" s="1">
        <v>7.8700898900338547</v>
      </c>
      <c r="I81" s="1">
        <f t="shared" si="8"/>
        <v>-16.138249899828715</v>
      </c>
      <c r="J81" s="1">
        <v>-1.057971269155332</v>
      </c>
      <c r="K81" s="1">
        <f t="shared" si="9"/>
        <v>-1.057971269155332</v>
      </c>
      <c r="L81" s="1">
        <f t="shared" si="10"/>
        <v>21.422256983441031</v>
      </c>
      <c r="M81" s="1">
        <f t="shared" si="11"/>
        <v>35.444564344959083</v>
      </c>
      <c r="N81" s="1">
        <f t="shared" si="12"/>
        <v>227.41480357874431</v>
      </c>
      <c r="O81" s="41"/>
    </row>
    <row r="82" spans="1:15" x14ac:dyDescent="0.25">
      <c r="A82" s="41" t="s">
        <v>310</v>
      </c>
      <c r="B82" s="1">
        <v>20.406521739130401</v>
      </c>
      <c r="C82">
        <v>80</v>
      </c>
      <c r="D82">
        <f t="shared" si="7"/>
        <v>6400</v>
      </c>
      <c r="E82" s="1">
        <v>36.603693006059544</v>
      </c>
      <c r="F82" s="1">
        <v>262.34835705023499</v>
      </c>
      <c r="G82" s="1">
        <v>357.26223863417908</v>
      </c>
      <c r="H82" s="1">
        <v>7.3127552774243254</v>
      </c>
      <c r="I82" s="1">
        <f t="shared" si="8"/>
        <v>-16.197171266929143</v>
      </c>
      <c r="J82" s="1">
        <v>-1.3968802865950825</v>
      </c>
      <c r="K82" s="1">
        <f t="shared" si="9"/>
        <v>-1.3968802865950825</v>
      </c>
      <c r="L82" s="1">
        <f t="shared" si="10"/>
        <v>21.803402025725482</v>
      </c>
      <c r="M82" s="1">
        <f t="shared" si="11"/>
        <v>35.206812719464459</v>
      </c>
      <c r="N82" s="1">
        <f t="shared" si="12"/>
        <v>219.04861310255768</v>
      </c>
      <c r="O82" s="41"/>
    </row>
    <row r="83" spans="1:15" x14ac:dyDescent="0.25">
      <c r="A83" s="41" t="s">
        <v>311</v>
      </c>
      <c r="B83" s="1">
        <v>20.428571428571399</v>
      </c>
      <c r="C83">
        <v>81</v>
      </c>
      <c r="D83">
        <f t="shared" si="7"/>
        <v>6561</v>
      </c>
      <c r="E83" s="1">
        <v>36.706122818029137</v>
      </c>
      <c r="F83" s="1">
        <v>264.95867923643755</v>
      </c>
      <c r="G83" s="1">
        <v>356.42918562012699</v>
      </c>
      <c r="H83" s="1">
        <v>6.769263565559398</v>
      </c>
      <c r="I83" s="1">
        <f t="shared" si="8"/>
        <v>-16.277551389457738</v>
      </c>
      <c r="J83" s="1">
        <v>0.26415847466672415</v>
      </c>
      <c r="K83" s="1">
        <f t="shared" si="9"/>
        <v>0.26415847466672415</v>
      </c>
      <c r="L83" s="1">
        <f t="shared" si="10"/>
        <v>20.164412953904673</v>
      </c>
      <c r="M83" s="1">
        <f t="shared" si="11"/>
        <v>36.970281292695859</v>
      </c>
      <c r="N83" s="1">
        <f t="shared" si="12"/>
        <v>273.62816522887243</v>
      </c>
      <c r="O83" s="41"/>
    </row>
    <row r="84" spans="1:15" x14ac:dyDescent="0.25">
      <c r="A84" s="41" t="s">
        <v>312</v>
      </c>
      <c r="B84" s="1">
        <v>20.234090909090899</v>
      </c>
      <c r="C84">
        <v>82</v>
      </c>
      <c r="D84">
        <f t="shared" si="7"/>
        <v>6724</v>
      </c>
      <c r="E84" s="1">
        <v>36.8098250500232</v>
      </c>
      <c r="F84" s="1">
        <v>274.75496231086868</v>
      </c>
      <c r="G84" s="1">
        <v>363.81033297340019</v>
      </c>
      <c r="H84" s="1">
        <v>6.2403967569021512</v>
      </c>
      <c r="I84" s="1">
        <f t="shared" si="8"/>
        <v>-16.575734140932301</v>
      </c>
      <c r="J84" s="1">
        <v>-9.9088507363074521E-2</v>
      </c>
      <c r="K84" s="1">
        <f t="shared" si="9"/>
        <v>-9.9088507363074521E-2</v>
      </c>
      <c r="L84" s="1">
        <f t="shared" si="10"/>
        <v>20.333179416453973</v>
      </c>
      <c r="M84" s="1">
        <f t="shared" si="11"/>
        <v>36.710736542660122</v>
      </c>
      <c r="N84" s="1">
        <f t="shared" si="12"/>
        <v>271.47985133421577</v>
      </c>
      <c r="O84" s="41"/>
    </row>
    <row r="85" spans="1:15" x14ac:dyDescent="0.25">
      <c r="A85" s="41" t="s">
        <v>313</v>
      </c>
      <c r="B85" s="1">
        <v>22.345454545454501</v>
      </c>
      <c r="C85">
        <v>83</v>
      </c>
      <c r="D85">
        <f t="shared" si="7"/>
        <v>6889</v>
      </c>
      <c r="E85" s="1">
        <v>36.914799702041726</v>
      </c>
      <c r="F85" s="1">
        <v>212.26581829177164</v>
      </c>
      <c r="G85" s="1">
        <v>287.72468006728963</v>
      </c>
      <c r="H85" s="1">
        <v>5.7269465682320462</v>
      </c>
      <c r="I85" s="1">
        <f t="shared" si="8"/>
        <v>-14.569345156587225</v>
      </c>
      <c r="J85" s="1">
        <v>-1.2980983239688675</v>
      </c>
      <c r="K85" s="1">
        <f t="shared" si="9"/>
        <v>-1.2980983239688675</v>
      </c>
      <c r="L85" s="1">
        <f t="shared" si="10"/>
        <v>23.64355286942337</v>
      </c>
      <c r="M85" s="1">
        <f t="shared" si="11"/>
        <v>35.616701378072861</v>
      </c>
      <c r="N85" s="1">
        <f t="shared" si="12"/>
        <v>176.12599249228285</v>
      </c>
      <c r="O85" s="41"/>
    </row>
    <row r="86" spans="1:15" x14ac:dyDescent="0.25">
      <c r="A86" s="42" t="s">
        <v>314</v>
      </c>
      <c r="B86" s="43">
        <v>24.6904761904762</v>
      </c>
      <c r="C86" s="44">
        <v>84</v>
      </c>
      <c r="D86" s="44">
        <f t="shared" si="7"/>
        <v>7056</v>
      </c>
      <c r="E86" s="43">
        <v>37.021046774084724</v>
      </c>
      <c r="F86" s="43">
        <v>152.04297091735182</v>
      </c>
      <c r="G86" s="43">
        <v>213.66918591619077</v>
      </c>
      <c r="H86" s="43">
        <v>5.2297144306447887</v>
      </c>
      <c r="I86" s="43">
        <f t="shared" si="8"/>
        <v>-12.330570583608523</v>
      </c>
      <c r="J86" s="43">
        <v>-0.81543195478137964</v>
      </c>
      <c r="K86" s="43">
        <f t="shared" si="9"/>
        <v>-0.81543195478137964</v>
      </c>
      <c r="L86" s="43">
        <f t="shared" si="10"/>
        <v>25.505908145257582</v>
      </c>
      <c r="M86" s="43">
        <f t="shared" si="11"/>
        <v>36.205614819303342</v>
      </c>
      <c r="N86" s="43">
        <f t="shared" si="12"/>
        <v>132.59841764110703</v>
      </c>
      <c r="O86" s="41"/>
    </row>
    <row r="87" spans="1:15" x14ac:dyDescent="0.25">
      <c r="A87" s="38" t="s">
        <v>315</v>
      </c>
      <c r="B87" s="39">
        <v>23.369565217391301</v>
      </c>
      <c r="C87" s="40">
        <v>85</v>
      </c>
      <c r="D87" s="40">
        <f t="shared" si="7"/>
        <v>7225</v>
      </c>
      <c r="E87" s="39">
        <v>37.128566266152184</v>
      </c>
      <c r="F87" s="39">
        <v>189.31010985980308</v>
      </c>
      <c r="G87" s="39">
        <v>254.03063240861894</v>
      </c>
      <c r="H87" s="39">
        <v>4.7495114895524626</v>
      </c>
      <c r="I87" s="39">
        <f t="shared" si="8"/>
        <v>-13.759001048760883</v>
      </c>
      <c r="J87" s="1">
        <v>1.8112585460347563</v>
      </c>
      <c r="K87" s="1">
        <f t="shared" si="9"/>
        <v>1.8112585460347563</v>
      </c>
      <c r="L87" s="1">
        <f t="shared" si="10"/>
        <v>21.558306671356544</v>
      </c>
      <c r="M87" s="1">
        <f t="shared" si="11"/>
        <v>38.939824812186941</v>
      </c>
      <c r="N87" s="1">
        <f t="shared" si="12"/>
        <v>242.43298384932569</v>
      </c>
      <c r="O87" s="41"/>
    </row>
    <row r="88" spans="1:15" x14ac:dyDescent="0.25">
      <c r="A88" s="41" t="s">
        <v>316</v>
      </c>
      <c r="B88" s="1">
        <v>21.762499999999999</v>
      </c>
      <c r="C88">
        <v>86</v>
      </c>
      <c r="D88">
        <f t="shared" si="7"/>
        <v>7396</v>
      </c>
      <c r="E88" s="1">
        <v>37.237358178244115</v>
      </c>
      <c r="F88" s="1">
        <v>239.4712356367688</v>
      </c>
      <c r="G88" s="1">
        <v>307.84118969965107</v>
      </c>
      <c r="H88" s="1">
        <v>4.2871586046833983</v>
      </c>
      <c r="I88" s="1">
        <f t="shared" si="8"/>
        <v>-15.474858178244116</v>
      </c>
      <c r="J88" s="1">
        <v>1.7118881857449326</v>
      </c>
      <c r="K88" s="1">
        <f t="shared" si="9"/>
        <v>1.7118881857449326</v>
      </c>
      <c r="L88" s="1">
        <f t="shared" si="10"/>
        <v>20.050611814255067</v>
      </c>
      <c r="M88" s="1">
        <f t="shared" si="11"/>
        <v>38.949246363989047</v>
      </c>
      <c r="N88" s="1">
        <f t="shared" si="12"/>
        <v>295.38425058009079</v>
      </c>
      <c r="O88" s="41"/>
    </row>
    <row r="89" spans="1:15" x14ac:dyDescent="0.25">
      <c r="A89" s="41" t="s">
        <v>317</v>
      </c>
      <c r="B89" s="1">
        <v>21.727272727272702</v>
      </c>
      <c r="C89">
        <v>87</v>
      </c>
      <c r="D89">
        <f t="shared" si="7"/>
        <v>7569</v>
      </c>
      <c r="E89" s="1">
        <v>37.347422510360509</v>
      </c>
      <c r="F89" s="1">
        <v>243.98907924609807</v>
      </c>
      <c r="G89" s="1">
        <v>309.07858410029303</v>
      </c>
      <c r="H89" s="1">
        <v>3.8434863500823018</v>
      </c>
      <c r="I89" s="1">
        <f t="shared" si="8"/>
        <v>-15.620149783087808</v>
      </c>
      <c r="J89" s="1">
        <v>0.78712307023048333</v>
      </c>
      <c r="K89" s="1">
        <f t="shared" si="9"/>
        <v>0.78712307023048333</v>
      </c>
      <c r="L89" s="1">
        <f t="shared" si="10"/>
        <v>20.94014965704222</v>
      </c>
      <c r="M89" s="1">
        <f t="shared" si="11"/>
        <v>38.134545580590995</v>
      </c>
      <c r="N89" s="1">
        <f t="shared" si="12"/>
        <v>269.19860248323539</v>
      </c>
      <c r="O89" s="41"/>
    </row>
    <row r="90" spans="1:15" x14ac:dyDescent="0.25">
      <c r="A90" s="41" t="s">
        <v>318</v>
      </c>
      <c r="B90" s="1">
        <v>20.845238095238098</v>
      </c>
      <c r="C90">
        <v>88</v>
      </c>
      <c r="D90">
        <f t="shared" si="7"/>
        <v>7744</v>
      </c>
      <c r="E90" s="1">
        <v>37.458759262501374</v>
      </c>
      <c r="F90" s="1">
        <v>276.0090855751049</v>
      </c>
      <c r="G90" s="1">
        <v>340.87001986916465</v>
      </c>
      <c r="H90" s="1">
        <v>3.4193350141101306</v>
      </c>
      <c r="I90" s="1">
        <f t="shared" si="8"/>
        <v>-16.613521167263276</v>
      </c>
      <c r="J90" s="1">
        <v>0.44727471415567188</v>
      </c>
      <c r="K90" s="1">
        <f t="shared" si="9"/>
        <v>0.44727471415567188</v>
      </c>
      <c r="L90" s="1">
        <f t="shared" si="10"/>
        <v>20.397963381082427</v>
      </c>
      <c r="M90" s="1">
        <f t="shared" si="11"/>
        <v>37.906033976657049</v>
      </c>
      <c r="N90" s="1">
        <f t="shared" si="12"/>
        <v>291.07075610744181</v>
      </c>
      <c r="O90" s="41"/>
    </row>
    <row r="91" spans="1:15" x14ac:dyDescent="0.25">
      <c r="A91" s="41" t="s">
        <v>319</v>
      </c>
      <c r="B91" s="1">
        <v>21.978260869565201</v>
      </c>
      <c r="C91">
        <v>89</v>
      </c>
      <c r="D91">
        <f t="shared" si="7"/>
        <v>7921</v>
      </c>
      <c r="E91" s="1">
        <v>37.571368434666702</v>
      </c>
      <c r="F91" s="1">
        <v>243.14500353682567</v>
      </c>
      <c r="G91" s="1">
        <v>300.31651935005885</v>
      </c>
      <c r="H91" s="1">
        <v>3.015554599444211</v>
      </c>
      <c r="I91" s="1">
        <f t="shared" si="8"/>
        <v>-15.593107565101501</v>
      </c>
      <c r="J91" s="1">
        <v>-5.3186412544197974E-2</v>
      </c>
      <c r="K91" s="1">
        <f t="shared" si="9"/>
        <v>-5.3186412544197974E-2</v>
      </c>
      <c r="L91" s="1">
        <f t="shared" si="10"/>
        <v>22.031447282109397</v>
      </c>
      <c r="M91" s="1">
        <f t="shared" si="11"/>
        <v>37.518182022122502</v>
      </c>
      <c r="N91" s="1">
        <f t="shared" si="12"/>
        <v>241.48914942769784</v>
      </c>
      <c r="O91" s="41"/>
    </row>
    <row r="92" spans="1:15" x14ac:dyDescent="0.25">
      <c r="A92" s="41" t="s">
        <v>320</v>
      </c>
      <c r="B92" s="1">
        <v>23.071428571428601</v>
      </c>
      <c r="C92">
        <v>90</v>
      </c>
      <c r="D92">
        <f t="shared" si="7"/>
        <v>8100</v>
      </c>
      <c r="E92" s="1">
        <v>37.685250026856501</v>
      </c>
      <c r="F92" s="1">
        <v>213.5637775311248</v>
      </c>
      <c r="G92" s="1">
        <v>263.62312340110373</v>
      </c>
      <c r="H92" s="1">
        <v>2.6330048230781289</v>
      </c>
      <c r="I92" s="1">
        <f t="shared" si="8"/>
        <v>-14.6138214554279</v>
      </c>
      <c r="J92" s="1">
        <v>-0.38758612468901388</v>
      </c>
      <c r="K92" s="1">
        <f t="shared" si="9"/>
        <v>-0.38758612468901388</v>
      </c>
      <c r="L92" s="1">
        <f t="shared" si="10"/>
        <v>23.459014696117617</v>
      </c>
      <c r="M92" s="1">
        <f t="shared" si="11"/>
        <v>37.297663902167486</v>
      </c>
      <c r="N92" s="1">
        <f t="shared" si="12"/>
        <v>202.3857716855633</v>
      </c>
      <c r="O92" s="41"/>
    </row>
    <row r="93" spans="1:15" x14ac:dyDescent="0.25">
      <c r="A93" s="41" t="s">
        <v>321</v>
      </c>
      <c r="B93" s="1">
        <v>23.4159090909091</v>
      </c>
      <c r="C93">
        <v>91</v>
      </c>
      <c r="D93">
        <f t="shared" si="7"/>
        <v>8281</v>
      </c>
      <c r="E93" s="1">
        <v>37.800404039070763</v>
      </c>
      <c r="F93" s="1">
        <v>206.9136949136884</v>
      </c>
      <c r="G93" s="1">
        <v>252.55549148121187</v>
      </c>
      <c r="H93" s="1">
        <v>2.27255511632183</v>
      </c>
      <c r="I93" s="1">
        <f t="shared" si="8"/>
        <v>-14.384494948161663</v>
      </c>
      <c r="J93" s="1">
        <v>-1.057971269155332</v>
      </c>
      <c r="K93" s="1">
        <f t="shared" si="9"/>
        <v>-1.057971269155332</v>
      </c>
      <c r="L93" s="1">
        <f t="shared" si="10"/>
        <v>24.473880360064431</v>
      </c>
      <c r="M93" s="1">
        <f t="shared" si="11"/>
        <v>36.742432769915432</v>
      </c>
      <c r="N93" s="1">
        <f t="shared" si="12"/>
        <v>177.59623336711647</v>
      </c>
      <c r="O93" s="41"/>
    </row>
    <row r="94" spans="1:15" x14ac:dyDescent="0.25">
      <c r="A94" s="41" t="s">
        <v>322</v>
      </c>
      <c r="B94" s="1">
        <v>26.047826086956501</v>
      </c>
      <c r="C94">
        <v>92</v>
      </c>
      <c r="D94">
        <f t="shared" si="7"/>
        <v>8464</v>
      </c>
      <c r="E94" s="1">
        <v>37.916830471309495</v>
      </c>
      <c r="F94" s="1">
        <v>140.87326507579061</v>
      </c>
      <c r="G94" s="1">
        <v>175.82965732423128</v>
      </c>
      <c r="H94" s="1">
        <v>1.9350846248015277</v>
      </c>
      <c r="I94" s="1">
        <f t="shared" si="8"/>
        <v>-11.869004384352994</v>
      </c>
      <c r="J94" s="1">
        <v>-1.3968802865950825</v>
      </c>
      <c r="K94" s="1">
        <f t="shared" si="9"/>
        <v>-1.3968802865950825</v>
      </c>
      <c r="L94" s="1">
        <f t="shared" si="10"/>
        <v>27.444706373551583</v>
      </c>
      <c r="M94" s="1">
        <f t="shared" si="11"/>
        <v>36.519950184714411</v>
      </c>
      <c r="N94" s="1">
        <f t="shared" si="12"/>
        <v>109.6653831188419</v>
      </c>
      <c r="O94" s="41"/>
    </row>
    <row r="95" spans="1:15" x14ac:dyDescent="0.25">
      <c r="A95" s="41" t="s">
        <v>323</v>
      </c>
      <c r="B95" s="1">
        <v>27.107500000000002</v>
      </c>
      <c r="C95">
        <v>93</v>
      </c>
      <c r="D95">
        <f t="shared" si="7"/>
        <v>8649</v>
      </c>
      <c r="E95" s="1">
        <v>38.034529323572698</v>
      </c>
      <c r="F95" s="1">
        <v>119.39996983821759</v>
      </c>
      <c r="G95" s="1">
        <v>148.84984954156039</v>
      </c>
      <c r="H95" s="1">
        <v>1.6214822084597709</v>
      </c>
      <c r="I95" s="1">
        <f t="shared" si="8"/>
        <v>-10.927029323572697</v>
      </c>
      <c r="J95" s="1">
        <v>0.26415847466672415</v>
      </c>
      <c r="K95" s="1">
        <f t="shared" si="9"/>
        <v>0.26415847466672415</v>
      </c>
      <c r="L95" s="1">
        <f t="shared" si="10"/>
        <v>26.843341525333276</v>
      </c>
      <c r="M95" s="1">
        <f t="shared" si="11"/>
        <v>38.29868779823942</v>
      </c>
      <c r="N95" s="1">
        <f t="shared" si="12"/>
        <v>125.24268433546285</v>
      </c>
      <c r="O95" s="41"/>
    </row>
    <row r="96" spans="1:15" x14ac:dyDescent="0.25">
      <c r="A96" s="41" t="s">
        <v>324</v>
      </c>
      <c r="B96" s="1">
        <v>27.508695652173898</v>
      </c>
      <c r="C96">
        <v>94</v>
      </c>
      <c r="D96">
        <f t="shared" si="7"/>
        <v>8836</v>
      </c>
      <c r="E96" s="1">
        <v>38.153500595860358</v>
      </c>
      <c r="F96" s="1">
        <v>113.31187228913168</v>
      </c>
      <c r="G96" s="1">
        <v>139.2213096841129</v>
      </c>
      <c r="H96" s="1">
        <v>1.3326464415554538</v>
      </c>
      <c r="I96" s="1">
        <f t="shared" si="8"/>
        <v>-10.644804943686459</v>
      </c>
      <c r="J96" s="1">
        <v>-9.9088507363074521E-2</v>
      </c>
      <c r="K96" s="1">
        <f t="shared" si="9"/>
        <v>-9.9088507363074521E-2</v>
      </c>
      <c r="L96" s="1">
        <f t="shared" si="10"/>
        <v>27.607784159536973</v>
      </c>
      <c r="M96" s="1">
        <f t="shared" si="11"/>
        <v>38.05441208849728</v>
      </c>
      <c r="N96" s="1">
        <f t="shared" si="12"/>
        <v>111.21213515534112</v>
      </c>
      <c r="O96" s="41"/>
    </row>
    <row r="97" spans="1:15" x14ac:dyDescent="0.25">
      <c r="A97" s="41" t="s">
        <v>325</v>
      </c>
      <c r="B97" s="1">
        <v>28.934090909090902</v>
      </c>
      <c r="C97">
        <v>95</v>
      </c>
      <c r="D97">
        <f t="shared" si="7"/>
        <v>9025</v>
      </c>
      <c r="E97" s="1">
        <v>38.273744288172495</v>
      </c>
      <c r="F97" s="1">
        <v>87.229125241390221</v>
      </c>
      <c r="G97" s="1">
        <v>107.61599105437161</v>
      </c>
      <c r="H97" s="1">
        <v>1.0694856126636954</v>
      </c>
      <c r="I97" s="1">
        <f t="shared" si="8"/>
        <v>-9.339653379081593</v>
      </c>
      <c r="J97" s="1">
        <v>-1.2980983239688675</v>
      </c>
      <c r="K97" s="1">
        <f t="shared" si="9"/>
        <v>-1.2980983239688675</v>
      </c>
      <c r="L97" s="1">
        <f t="shared" si="10"/>
        <v>30.232189233059771</v>
      </c>
      <c r="M97" s="1">
        <f t="shared" si="11"/>
        <v>36.975645964203629</v>
      </c>
      <c r="N97" s="1">
        <f t="shared" si="12"/>
        <v>64.66660770440906</v>
      </c>
      <c r="O97" s="41"/>
    </row>
    <row r="98" spans="1:15" x14ac:dyDescent="0.25">
      <c r="A98" s="42" t="s">
        <v>326</v>
      </c>
      <c r="B98" s="43">
        <v>28.761904761904798</v>
      </c>
      <c r="C98" s="44">
        <v>96</v>
      </c>
      <c r="D98" s="44">
        <f t="shared" si="7"/>
        <v>9216</v>
      </c>
      <c r="E98" s="43">
        <v>38.395260400509088</v>
      </c>
      <c r="F98" s="43">
        <v>92.801540859829061</v>
      </c>
      <c r="G98" s="43">
        <v>111.21809282312572</v>
      </c>
      <c r="H98" s="43">
        <v>0.83291772467602532</v>
      </c>
      <c r="I98" s="43">
        <f t="shared" si="8"/>
        <v>-9.6333556386042893</v>
      </c>
      <c r="J98" s="43">
        <v>-0.81543195478137964</v>
      </c>
      <c r="K98" s="43">
        <f t="shared" si="9"/>
        <v>-0.81543195478137964</v>
      </c>
      <c r="L98" s="43">
        <f t="shared" si="10"/>
        <v>29.57733671668618</v>
      </c>
      <c r="M98" s="43">
        <f t="shared" si="11"/>
        <v>37.579828445727706</v>
      </c>
      <c r="N98" s="43">
        <f t="shared" si="12"/>
        <v>77.75577809372497</v>
      </c>
      <c r="O98" s="41"/>
    </row>
    <row r="99" spans="1:15" x14ac:dyDescent="0.25">
      <c r="A99" s="38" t="s">
        <v>327</v>
      </c>
      <c r="B99" s="39">
        <v>28.710869565217401</v>
      </c>
      <c r="C99" s="40">
        <v>97</v>
      </c>
      <c r="D99" s="40">
        <f t="shared" si="7"/>
        <v>9409</v>
      </c>
      <c r="E99" s="39">
        <v>38.518048932870158</v>
      </c>
      <c r="F99" s="39">
        <v>96.180767149313937</v>
      </c>
      <c r="G99" s="39">
        <v>112.29713167079751</v>
      </c>
      <c r="H99" s="39">
        <v>0.62387049480019674</v>
      </c>
      <c r="I99" s="39">
        <f t="shared" si="8"/>
        <v>-9.8071793676527577</v>
      </c>
      <c r="J99" s="1">
        <v>1.8112585460347563</v>
      </c>
      <c r="K99" s="1">
        <f t="shared" si="9"/>
        <v>1.8112585460347563</v>
      </c>
      <c r="L99" s="1">
        <f t="shared" si="10"/>
        <v>26.899611019182643</v>
      </c>
      <c r="M99" s="1">
        <f t="shared" si="11"/>
        <v>40.329307478904916</v>
      </c>
      <c r="N99" s="1">
        <f t="shared" si="12"/>
        <v>134.98809955421149</v>
      </c>
      <c r="O99" s="41"/>
    </row>
    <row r="100" spans="1:15" x14ac:dyDescent="0.25">
      <c r="A100" s="41" t="s">
        <v>328</v>
      </c>
      <c r="B100" s="1">
        <v>28.645</v>
      </c>
      <c r="C100">
        <v>98</v>
      </c>
      <c r="D100">
        <f t="shared" si="7"/>
        <v>9604</v>
      </c>
      <c r="E100" s="1">
        <v>38.642109885255692</v>
      </c>
      <c r="F100" s="1">
        <v>99.942206057877087</v>
      </c>
      <c r="G100" s="1">
        <v>113.69751452765692</v>
      </c>
      <c r="H100" s="1">
        <v>0.44328135456034323</v>
      </c>
      <c r="I100" s="1">
        <f t="shared" si="8"/>
        <v>-9.9971098852556928</v>
      </c>
      <c r="J100" s="1">
        <v>1.7118881857449326</v>
      </c>
      <c r="K100" s="1">
        <f t="shared" si="9"/>
        <v>1.7118881857449326</v>
      </c>
      <c r="L100" s="1">
        <f t="shared" si="10"/>
        <v>26.933111814255067</v>
      </c>
      <c r="M100" s="1">
        <f t="shared" si="11"/>
        <v>40.353998071000625</v>
      </c>
      <c r="N100" s="1">
        <f t="shared" si="12"/>
        <v>137.10063582669636</v>
      </c>
      <c r="O100" s="41"/>
    </row>
    <row r="101" spans="1:15" x14ac:dyDescent="0.25">
      <c r="A101" s="41" t="s">
        <v>329</v>
      </c>
      <c r="B101" s="1">
        <v>27.202380952380999</v>
      </c>
      <c r="C101">
        <v>99</v>
      </c>
      <c r="D101">
        <f t="shared" si="7"/>
        <v>9801</v>
      </c>
      <c r="E101" s="1">
        <v>38.76744325766569</v>
      </c>
      <c r="F101" s="1">
        <v>133.75066612511685</v>
      </c>
      <c r="G101" s="1">
        <v>146.543680098718</v>
      </c>
      <c r="H101" s="1">
        <v>0.2920974497968809</v>
      </c>
      <c r="I101" s="1">
        <f t="shared" si="8"/>
        <v>-11.565062305284691</v>
      </c>
      <c r="J101" s="1">
        <v>0.78712307023048333</v>
      </c>
      <c r="K101" s="1">
        <f t="shared" si="9"/>
        <v>0.78712307023048333</v>
      </c>
      <c r="L101" s="1">
        <f t="shared" si="10"/>
        <v>26.415257882150517</v>
      </c>
      <c r="M101" s="1">
        <f t="shared" si="11"/>
        <v>39.554566327896175</v>
      </c>
      <c r="N101" s="1">
        <f t="shared" si="12"/>
        <v>152.576483551091</v>
      </c>
      <c r="O101" s="41"/>
    </row>
    <row r="102" spans="1:15" x14ac:dyDescent="0.25">
      <c r="A102" s="41" t="s">
        <v>330</v>
      </c>
      <c r="B102" s="1">
        <v>25.704545454545499</v>
      </c>
      <c r="C102">
        <v>100</v>
      </c>
      <c r="D102">
        <f t="shared" si="7"/>
        <v>10000</v>
      </c>
      <c r="E102" s="1">
        <v>38.894049050100158</v>
      </c>
      <c r="F102" s="1">
        <v>173.96300509714925</v>
      </c>
      <c r="G102" s="1">
        <v>185.05135454910595</v>
      </c>
      <c r="H102" s="1">
        <v>0.17127564066653186</v>
      </c>
      <c r="I102" s="1">
        <f t="shared" si="8"/>
        <v>-13.189503595554658</v>
      </c>
      <c r="J102" s="1">
        <v>0.44727471415567188</v>
      </c>
      <c r="K102" s="1">
        <f t="shared" si="9"/>
        <v>0.44727471415567188</v>
      </c>
      <c r="L102" s="1">
        <f t="shared" si="10"/>
        <v>25.257270740389828</v>
      </c>
      <c r="M102" s="1">
        <f t="shared" si="11"/>
        <v>39.341323764255833</v>
      </c>
      <c r="N102" s="1">
        <f t="shared" si="12"/>
        <v>185.96172266818621</v>
      </c>
      <c r="O102" s="41"/>
    </row>
    <row r="103" spans="1:15" x14ac:dyDescent="0.25">
      <c r="A103" s="41" t="s">
        <v>331</v>
      </c>
      <c r="B103" s="1">
        <v>24.684782608695599</v>
      </c>
      <c r="C103">
        <v>101</v>
      </c>
      <c r="D103">
        <f t="shared" si="7"/>
        <v>10201</v>
      </c>
      <c r="E103" s="1">
        <v>39.021927262559096</v>
      </c>
      <c r="F103" s="1">
        <v>205.55371682580665</v>
      </c>
      <c r="G103" s="1">
        <v>213.83566937053857</v>
      </c>
      <c r="H103" s="1">
        <v>8.1782501642341576E-2</v>
      </c>
      <c r="I103" s="1">
        <f t="shared" si="8"/>
        <v>-14.337144653863497</v>
      </c>
      <c r="J103" s="1">
        <v>-5.3186412544197974E-2</v>
      </c>
      <c r="K103" s="1">
        <f t="shared" si="9"/>
        <v>-5.3186412544197974E-2</v>
      </c>
      <c r="L103" s="1">
        <f t="shared" si="10"/>
        <v>24.737969021239795</v>
      </c>
      <c r="M103" s="1">
        <f t="shared" si="11"/>
        <v>38.968740850014896</v>
      </c>
      <c r="N103" s="1">
        <f t="shared" si="12"/>
        <v>204.03146303975348</v>
      </c>
      <c r="O103" s="41"/>
    </row>
    <row r="104" spans="1:15" x14ac:dyDescent="0.25">
      <c r="A104" s="41" t="s">
        <v>332</v>
      </c>
      <c r="B104" s="1">
        <v>24.475000000000001</v>
      </c>
      <c r="C104">
        <v>102</v>
      </c>
      <c r="D104">
        <f t="shared" si="7"/>
        <v>10404</v>
      </c>
      <c r="E104" s="1">
        <v>39.151077895042498</v>
      </c>
      <c r="F104" s="1">
        <v>215.38726238135499</v>
      </c>
      <c r="G104" s="1">
        <v>220.01503107756105</v>
      </c>
      <c r="H104" s="1">
        <v>2.4594321513669692E-2</v>
      </c>
      <c r="I104" s="1">
        <f t="shared" si="8"/>
        <v>-14.676077895042496</v>
      </c>
      <c r="J104" s="1">
        <v>-0.38758612468901388</v>
      </c>
      <c r="K104" s="1">
        <f t="shared" si="9"/>
        <v>-0.38758612468901388</v>
      </c>
      <c r="L104" s="1">
        <f t="shared" si="10"/>
        <v>24.862586124689017</v>
      </c>
      <c r="M104" s="1">
        <f t="shared" si="11"/>
        <v>38.763491770353482</v>
      </c>
      <c r="N104" s="1">
        <f t="shared" si="12"/>
        <v>204.16099707145915</v>
      </c>
      <c r="O104" s="41"/>
    </row>
    <row r="105" spans="1:15" x14ac:dyDescent="0.25">
      <c r="A105" s="41" t="s">
        <v>333</v>
      </c>
      <c r="B105" s="1">
        <v>25.228260869565201</v>
      </c>
      <c r="C105">
        <v>103</v>
      </c>
      <c r="D105">
        <f t="shared" si="7"/>
        <v>10609</v>
      </c>
      <c r="E105" s="1">
        <v>39.281500947550363</v>
      </c>
      <c r="F105" s="1">
        <v>197.4935566894884</v>
      </c>
      <c r="G105" s="1">
        <v>198.2363411923553</v>
      </c>
      <c r="H105" s="1">
        <v>6.9710338618017933E-4</v>
      </c>
      <c r="I105" s="1">
        <f t="shared" si="8"/>
        <v>-14.053240077985162</v>
      </c>
      <c r="J105" s="1">
        <v>-1.057971269155332</v>
      </c>
      <c r="K105" s="1">
        <f t="shared" si="9"/>
        <v>-1.057971269155332</v>
      </c>
      <c r="L105" s="1">
        <f t="shared" si="10"/>
        <v>26.286232138720532</v>
      </c>
      <c r="M105" s="1">
        <f t="shared" si="11"/>
        <v>38.223529678395032</v>
      </c>
      <c r="N105" s="1">
        <f t="shared" si="12"/>
        <v>168.87701141374549</v>
      </c>
      <c r="O105" s="41"/>
    </row>
    <row r="106" spans="1:15" x14ac:dyDescent="0.25">
      <c r="A106" s="41" t="s">
        <v>334</v>
      </c>
      <c r="B106" s="1">
        <v>25.284090909090899</v>
      </c>
      <c r="C106">
        <v>104</v>
      </c>
      <c r="D106">
        <f t="shared" si="7"/>
        <v>10816</v>
      </c>
      <c r="E106" s="1">
        <v>39.413196420082699</v>
      </c>
      <c r="F106" s="1">
        <v>199.63162254073882</v>
      </c>
      <c r="G106" s="1">
        <v>196.66732415833189</v>
      </c>
      <c r="H106" s="1">
        <v>1.1086564681850396E-2</v>
      </c>
      <c r="I106" s="1">
        <f t="shared" si="8"/>
        <v>-14.129105510991799</v>
      </c>
      <c r="J106" s="1">
        <v>-1.3968802865950825</v>
      </c>
      <c r="K106" s="1">
        <f t="shared" si="9"/>
        <v>-1.3968802865950825</v>
      </c>
      <c r="L106" s="1">
        <f t="shared" si="10"/>
        <v>26.680971195685981</v>
      </c>
      <c r="M106" s="1">
        <f t="shared" si="11"/>
        <v>38.016316133487614</v>
      </c>
      <c r="N106" s="1">
        <f t="shared" si="12"/>
        <v>162.10955916476397</v>
      </c>
      <c r="O106" s="41"/>
    </row>
    <row r="107" spans="1:15" x14ac:dyDescent="0.25">
      <c r="A107" s="41" t="s">
        <v>335</v>
      </c>
      <c r="B107" s="1">
        <v>25.4119047619048</v>
      </c>
      <c r="C107">
        <v>105</v>
      </c>
      <c r="D107">
        <f t="shared" si="7"/>
        <v>11025</v>
      </c>
      <c r="E107" s="1">
        <v>39.546164312639505</v>
      </c>
      <c r="F107" s="1">
        <v>199.77729304753521</v>
      </c>
      <c r="G107" s="1">
        <v>193.0987854608525</v>
      </c>
      <c r="H107" s="1">
        <v>5.6768137138973815E-2</v>
      </c>
      <c r="I107" s="1">
        <f t="shared" si="8"/>
        <v>-14.134259550734704</v>
      </c>
      <c r="J107" s="1">
        <v>0.26415847466672415</v>
      </c>
      <c r="K107" s="1">
        <f t="shared" si="9"/>
        <v>0.26415847466672415</v>
      </c>
      <c r="L107" s="1">
        <f t="shared" si="10"/>
        <v>25.147746287238075</v>
      </c>
      <c r="M107" s="1">
        <f t="shared" si="11"/>
        <v>39.810322787306227</v>
      </c>
      <c r="N107" s="1">
        <f t="shared" si="12"/>
        <v>207.31444163420471</v>
      </c>
      <c r="O107" s="41"/>
    </row>
    <row r="108" spans="1:15" x14ac:dyDescent="0.25">
      <c r="A108" s="41" t="s">
        <v>336</v>
      </c>
      <c r="B108" s="1">
        <v>24.917391304347799</v>
      </c>
      <c r="C108">
        <v>106</v>
      </c>
      <c r="D108">
        <f t="shared" si="7"/>
        <v>11236</v>
      </c>
      <c r="E108" s="1">
        <v>39.680404625220774</v>
      </c>
      <c r="F108" s="1">
        <v>217.9465623122729</v>
      </c>
      <c r="G108" s="1">
        <v>207.08684594619265</v>
      </c>
      <c r="H108" s="1">
        <v>0.13875696681215066</v>
      </c>
      <c r="I108" s="1">
        <f t="shared" si="8"/>
        <v>-14.763013320872975</v>
      </c>
      <c r="J108" s="1">
        <v>-9.9088507363074521E-2</v>
      </c>
      <c r="K108" s="1">
        <f t="shared" si="9"/>
        <v>-9.9088507363074521E-2</v>
      </c>
      <c r="L108" s="1">
        <f t="shared" si="10"/>
        <v>25.016479811710873</v>
      </c>
      <c r="M108" s="1">
        <f t="shared" si="11"/>
        <v>39.581316117857696</v>
      </c>
      <c r="N108" s="1">
        <f t="shared" si="12"/>
        <v>215.03069093627127</v>
      </c>
      <c r="O108" s="41"/>
    </row>
    <row r="109" spans="1:15" x14ac:dyDescent="0.25">
      <c r="A109" s="41" t="s">
        <v>337</v>
      </c>
      <c r="B109" s="1">
        <v>24.988095238095202</v>
      </c>
      <c r="C109">
        <v>107</v>
      </c>
      <c r="D109">
        <f t="shared" si="7"/>
        <v>11449</v>
      </c>
      <c r="E109" s="1">
        <v>39.815917357826507</v>
      </c>
      <c r="F109" s="1">
        <v>219.86430881439298</v>
      </c>
      <c r="G109" s="1">
        <v>205.05691332763715</v>
      </c>
      <c r="H109" s="1">
        <v>0.25807791407229269</v>
      </c>
      <c r="I109" s="1">
        <f t="shared" si="8"/>
        <v>-14.827822119731305</v>
      </c>
      <c r="J109" s="1">
        <v>-1.2980983239688675</v>
      </c>
      <c r="K109" s="1">
        <f t="shared" si="9"/>
        <v>-1.2980983239688675</v>
      </c>
      <c r="L109" s="1">
        <f t="shared" si="10"/>
        <v>26.286193562064071</v>
      </c>
      <c r="M109" s="1">
        <f t="shared" si="11"/>
        <v>38.517819033857641</v>
      </c>
      <c r="N109" s="1">
        <f t="shared" si="12"/>
        <v>183.05342598962039</v>
      </c>
      <c r="O109" s="41"/>
    </row>
    <row r="110" spans="1:15" x14ac:dyDescent="0.25">
      <c r="A110" s="42" t="s">
        <v>338</v>
      </c>
      <c r="B110" s="43">
        <v>25.625</v>
      </c>
      <c r="C110" s="44">
        <v>108</v>
      </c>
      <c r="D110" s="44">
        <f t="shared" si="7"/>
        <v>11664</v>
      </c>
      <c r="E110" s="43">
        <v>39.95270251045671</v>
      </c>
      <c r="F110" s="43">
        <v>205.28305922814752</v>
      </c>
      <c r="G110" s="43">
        <v>187.22185265252756</v>
      </c>
      <c r="H110" s="43">
        <v>0.41576555360663286</v>
      </c>
      <c r="I110" s="43">
        <f t="shared" si="8"/>
        <v>-14.32770251045671</v>
      </c>
      <c r="J110" s="43">
        <v>-0.81543195478137964</v>
      </c>
      <c r="K110" s="43">
        <f t="shared" si="9"/>
        <v>-0.81543195478137964</v>
      </c>
      <c r="L110" s="43">
        <f t="shared" si="10"/>
        <v>26.440431954781381</v>
      </c>
      <c r="M110" s="43">
        <f t="shared" si="11"/>
        <v>39.137270555675329</v>
      </c>
      <c r="N110" s="43">
        <f t="shared" si="12"/>
        <v>182.58145556977047</v>
      </c>
      <c r="O110" s="41"/>
    </row>
    <row r="111" spans="1:15" x14ac:dyDescent="0.25">
      <c r="A111" s="38" t="s">
        <v>339</v>
      </c>
      <c r="B111" s="39">
        <v>24.6413043478261</v>
      </c>
      <c r="C111" s="40">
        <v>109</v>
      </c>
      <c r="D111" s="40">
        <f t="shared" si="7"/>
        <v>11881</v>
      </c>
      <c r="E111" s="39">
        <v>40.090760083111384</v>
      </c>
      <c r="F111" s="39">
        <v>238.68568251653934</v>
      </c>
      <c r="G111" s="39">
        <v>215.10913547356247</v>
      </c>
      <c r="H111" s="39">
        <v>0.61286417441871255</v>
      </c>
      <c r="I111" s="39">
        <f t="shared" si="8"/>
        <v>-15.449455735285284</v>
      </c>
      <c r="J111" s="1">
        <v>1.8112585460347563</v>
      </c>
      <c r="K111" s="1">
        <f t="shared" si="9"/>
        <v>1.8112585460347563</v>
      </c>
      <c r="L111" s="1">
        <f t="shared" si="10"/>
        <v>22.830045801791343</v>
      </c>
      <c r="M111" s="1">
        <f t="shared" si="11"/>
        <v>41.902018629146141</v>
      </c>
      <c r="N111" s="1">
        <f t="shared" si="12"/>
        <v>297.9322575013656</v>
      </c>
      <c r="O111" s="41"/>
    </row>
    <row r="112" spans="1:15" x14ac:dyDescent="0.25">
      <c r="A112" s="41" t="s">
        <v>340</v>
      </c>
      <c r="B112" s="1">
        <v>24.6875</v>
      </c>
      <c r="C112">
        <v>110</v>
      </c>
      <c r="D112">
        <f t="shared" si="7"/>
        <v>12100</v>
      </c>
      <c r="E112" s="1">
        <v>40.230090075790521</v>
      </c>
      <c r="F112" s="1">
        <v>241.572106264062</v>
      </c>
      <c r="G112" s="1">
        <v>213.75620327076143</v>
      </c>
      <c r="H112" s="1">
        <v>0.85042777982837237</v>
      </c>
      <c r="I112" s="1">
        <f t="shared" si="8"/>
        <v>-15.542590075790521</v>
      </c>
      <c r="J112" s="1">
        <v>1.7118881857449326</v>
      </c>
      <c r="K112" s="1">
        <f t="shared" si="9"/>
        <v>1.7118881857449326</v>
      </c>
      <c r="L112" s="1">
        <f t="shared" si="10"/>
        <v>22.975611814255068</v>
      </c>
      <c r="M112" s="1">
        <f t="shared" si="11"/>
        <v>41.941978261535453</v>
      </c>
      <c r="N112" s="1">
        <f t="shared" si="12"/>
        <v>297.71702007779953</v>
      </c>
      <c r="O112" s="41"/>
    </row>
    <row r="113" spans="1:15" x14ac:dyDescent="0.25">
      <c r="A113" s="41" t="s">
        <v>341</v>
      </c>
      <c r="B113" s="1">
        <v>24.6613636363636</v>
      </c>
      <c r="C113">
        <v>111</v>
      </c>
      <c r="D113">
        <f t="shared" si="7"/>
        <v>12321</v>
      </c>
      <c r="E113" s="1">
        <v>40.370692488494122</v>
      </c>
      <c r="F113" s="1">
        <v>246.78301298438046</v>
      </c>
      <c r="G113" s="1">
        <v>214.52113475356285</v>
      </c>
      <c r="H113" s="1">
        <v>1.1295200874717719</v>
      </c>
      <c r="I113" s="1">
        <f t="shared" si="8"/>
        <v>-15.709328852130522</v>
      </c>
      <c r="J113" s="1">
        <v>0.78712307023048333</v>
      </c>
      <c r="K113" s="1">
        <f t="shared" si="9"/>
        <v>0.78712307023048333</v>
      </c>
      <c r="L113" s="1">
        <f t="shared" si="10"/>
        <v>23.874240566133118</v>
      </c>
      <c r="M113" s="1">
        <f t="shared" si="11"/>
        <v>41.157815558724607</v>
      </c>
      <c r="N113" s="1">
        <f t="shared" si="12"/>
        <v>272.13292602676819</v>
      </c>
      <c r="O113" s="41"/>
    </row>
    <row r="114" spans="1:15" x14ac:dyDescent="0.25">
      <c r="A114" s="41" t="s">
        <v>342</v>
      </c>
      <c r="B114" s="1">
        <v>29.9636363636364</v>
      </c>
      <c r="C114">
        <v>112</v>
      </c>
      <c r="D114">
        <f t="shared" si="7"/>
        <v>12544</v>
      </c>
      <c r="E114" s="1">
        <v>40.512567321222193</v>
      </c>
      <c r="F114" s="1">
        <v>111.27994434791191</v>
      </c>
      <c r="G114" s="1">
        <v>87.315331363040883</v>
      </c>
      <c r="H114" s="1">
        <v>1.4512145293013996</v>
      </c>
      <c r="I114" s="1">
        <f t="shared" si="8"/>
        <v>-10.548930957585792</v>
      </c>
      <c r="J114" s="1">
        <v>0.44727471415567188</v>
      </c>
      <c r="K114" s="1">
        <f t="shared" si="9"/>
        <v>0.44727471415567188</v>
      </c>
      <c r="L114" s="1">
        <f t="shared" si="10"/>
        <v>29.516361649480729</v>
      </c>
      <c r="M114" s="1">
        <f t="shared" si="11"/>
        <v>40.959842035377868</v>
      </c>
      <c r="N114" s="1">
        <f t="shared" si="12"/>
        <v>120.91653917523922</v>
      </c>
      <c r="O114" s="41"/>
    </row>
    <row r="115" spans="1:15" x14ac:dyDescent="0.25">
      <c r="A115" s="41" t="s">
        <v>343</v>
      </c>
      <c r="B115" s="1">
        <v>33.511904761904802</v>
      </c>
      <c r="C115">
        <v>113</v>
      </c>
      <c r="D115">
        <f t="shared" si="7"/>
        <v>12769</v>
      </c>
      <c r="E115" s="1">
        <v>40.655714573974734</v>
      </c>
      <c r="F115" s="1">
        <v>51.03401863102664</v>
      </c>
      <c r="G115" s="1">
        <v>33.593603262169729</v>
      </c>
      <c r="H115" s="1">
        <v>1.8165942515860454</v>
      </c>
      <c r="I115" s="1">
        <f t="shared" si="8"/>
        <v>-7.1438098120699323</v>
      </c>
      <c r="J115" s="1">
        <v>-5.3186412544197974E-2</v>
      </c>
      <c r="K115" s="1">
        <f t="shared" si="9"/>
        <v>-5.3186412544197974E-2</v>
      </c>
      <c r="L115" s="1">
        <f t="shared" si="10"/>
        <v>33.565091174449002</v>
      </c>
      <c r="M115" s="1">
        <f t="shared" si="11"/>
        <v>40.602528161430534</v>
      </c>
      <c r="N115" s="1">
        <f t="shared" si="12"/>
        <v>50.276940193901851</v>
      </c>
      <c r="O115" s="41"/>
    </row>
    <row r="116" spans="1:15" x14ac:dyDescent="0.25">
      <c r="A116" s="41" t="s">
        <v>344</v>
      </c>
      <c r="B116" s="1">
        <v>33.088636363636397</v>
      </c>
      <c r="C116">
        <v>114</v>
      </c>
      <c r="D116">
        <f t="shared" si="7"/>
        <v>12996</v>
      </c>
      <c r="E116" s="1">
        <v>40.800134246751739</v>
      </c>
      <c r="F116" s="1">
        <v>59.467199601292407</v>
      </c>
      <c r="G116" s="1">
        <v>38.679285741655576</v>
      </c>
      <c r="H116" s="1">
        <v>2.2267521149107896</v>
      </c>
      <c r="I116" s="1">
        <f t="shared" si="8"/>
        <v>-7.7114978831153422</v>
      </c>
      <c r="J116" s="1">
        <v>-0.38758612468901388</v>
      </c>
      <c r="K116" s="1">
        <f t="shared" si="9"/>
        <v>-0.38758612468901388</v>
      </c>
      <c r="L116" s="1">
        <f t="shared" si="10"/>
        <v>33.476222488325412</v>
      </c>
      <c r="M116" s="1">
        <f t="shared" si="11"/>
        <v>40.412548122062724</v>
      </c>
      <c r="N116" s="1">
        <f t="shared" si="12"/>
        <v>53.639683445215411</v>
      </c>
      <c r="O116" s="41"/>
    </row>
    <row r="117" spans="1:15" x14ac:dyDescent="0.25">
      <c r="A117" s="41" t="s">
        <v>345</v>
      </c>
      <c r="B117" s="1">
        <v>32.360869565217399</v>
      </c>
      <c r="C117">
        <v>115</v>
      </c>
      <c r="D117">
        <f t="shared" si="7"/>
        <v>13225</v>
      </c>
      <c r="E117" s="1">
        <v>40.945826339553207</v>
      </c>
      <c r="F117" s="1">
        <v>73.701482817214284</v>
      </c>
      <c r="G117" s="1">
        <v>48.261282756560746</v>
      </c>
      <c r="H117" s="1">
        <v>2.6827906941770396</v>
      </c>
      <c r="I117" s="1">
        <f t="shared" si="8"/>
        <v>-8.5849567743358079</v>
      </c>
      <c r="J117" s="1">
        <v>-1.057971269155332</v>
      </c>
      <c r="K117" s="1">
        <f t="shared" si="9"/>
        <v>-1.057971269155332</v>
      </c>
      <c r="L117" s="1">
        <f t="shared" si="10"/>
        <v>33.41884083437273</v>
      </c>
      <c r="M117" s="1">
        <f t="shared" si="11"/>
        <v>39.887855070397876</v>
      </c>
      <c r="N117" s="1">
        <f t="shared" si="12"/>
        <v>56.655510795196996</v>
      </c>
      <c r="O117" s="41"/>
    </row>
    <row r="118" spans="1:15" x14ac:dyDescent="0.25">
      <c r="A118" s="41" t="s">
        <v>346</v>
      </c>
      <c r="B118" s="1">
        <v>31.376190476190501</v>
      </c>
      <c r="C118">
        <v>116</v>
      </c>
      <c r="D118">
        <f t="shared" si="7"/>
        <v>13456</v>
      </c>
      <c r="E118" s="1">
        <v>41.092790852379153</v>
      </c>
      <c r="F118" s="1">
        <v>94.412322870549445</v>
      </c>
      <c r="G118" s="1">
        <v>62.912074078728658</v>
      </c>
      <c r="H118" s="1">
        <v>3.1858222786025654</v>
      </c>
      <c r="I118" s="1">
        <f t="shared" si="8"/>
        <v>-9.7166003761886515</v>
      </c>
      <c r="J118" s="1">
        <v>-1.3968802865950825</v>
      </c>
      <c r="K118" s="1">
        <f t="shared" si="9"/>
        <v>-1.3968802865950825</v>
      </c>
      <c r="L118" s="1">
        <f t="shared" si="10"/>
        <v>32.773070762785586</v>
      </c>
      <c r="M118" s="1">
        <f t="shared" si="11"/>
        <v>39.695910565784068</v>
      </c>
      <c r="N118" s="1">
        <f t="shared" si="12"/>
        <v>69.21774236918678</v>
      </c>
      <c r="O118" s="41"/>
    </row>
    <row r="119" spans="1:15" x14ac:dyDescent="0.25">
      <c r="A119" s="41" t="s">
        <v>347</v>
      </c>
      <c r="B119" s="1">
        <v>29.981818181818198</v>
      </c>
      <c r="C119">
        <v>117</v>
      </c>
      <c r="D119">
        <f t="shared" si="7"/>
        <v>13689</v>
      </c>
      <c r="E119" s="1">
        <v>41.241027785229555</v>
      </c>
      <c r="F119" s="1">
        <v>126.76980089355052</v>
      </c>
      <c r="G119" s="1">
        <v>86.975870403392875</v>
      </c>
      <c r="H119" s="1">
        <v>3.7369688717213285</v>
      </c>
      <c r="I119" s="1">
        <f t="shared" si="8"/>
        <v>-11.259209603411357</v>
      </c>
      <c r="J119" s="1">
        <v>0.26415847466672415</v>
      </c>
      <c r="K119" s="1">
        <f t="shared" si="9"/>
        <v>0.26415847466672415</v>
      </c>
      <c r="L119" s="1">
        <f t="shared" si="10"/>
        <v>29.717659707151473</v>
      </c>
      <c r="M119" s="1">
        <f t="shared" si="11"/>
        <v>41.505186259896277</v>
      </c>
      <c r="N119" s="1">
        <f t="shared" si="12"/>
        <v>132.78801186286887</v>
      </c>
      <c r="O119" s="41"/>
    </row>
    <row r="120" spans="1:15" x14ac:dyDescent="0.25">
      <c r="A120" s="41" t="s">
        <v>348</v>
      </c>
      <c r="B120" s="1">
        <v>29.636363636363601</v>
      </c>
      <c r="C120">
        <v>118</v>
      </c>
      <c r="D120">
        <f t="shared" si="7"/>
        <v>13924</v>
      </c>
      <c r="E120" s="1">
        <v>41.390537138104435</v>
      </c>
      <c r="F120" s="1">
        <v>138.16059470902636</v>
      </c>
      <c r="G120" s="1">
        <v>93.538686487952972</v>
      </c>
      <c r="H120" s="1">
        <v>4.3373621913837548</v>
      </c>
      <c r="I120" s="1">
        <f t="shared" si="8"/>
        <v>-11.754173501740834</v>
      </c>
      <c r="J120" s="1">
        <v>-9.9088507363074521E-2</v>
      </c>
      <c r="K120" s="1">
        <f t="shared" si="9"/>
        <v>-9.9088507363074521E-2</v>
      </c>
      <c r="L120" s="1">
        <f t="shared" si="10"/>
        <v>29.735452143726675</v>
      </c>
      <c r="M120" s="1">
        <f t="shared" si="11"/>
        <v>41.291448630741357</v>
      </c>
      <c r="N120" s="1">
        <f t="shared" si="12"/>
        <v>135.84100622616953</v>
      </c>
      <c r="O120" s="41"/>
    </row>
    <row r="121" spans="1:15" x14ac:dyDescent="0.25">
      <c r="A121" s="41" t="s">
        <v>349</v>
      </c>
      <c r="B121" s="1">
        <v>29.485714285714302</v>
      </c>
      <c r="C121">
        <v>119</v>
      </c>
      <c r="D121">
        <f t="shared" si="7"/>
        <v>14161</v>
      </c>
      <c r="E121" s="1">
        <v>41.541318911003771</v>
      </c>
      <c r="F121" s="1">
        <v>145.33760288130082</v>
      </c>
      <c r="G121" s="1">
        <v>96.475404164404495</v>
      </c>
      <c r="H121" s="1">
        <v>4.9881436697564174</v>
      </c>
      <c r="I121" s="1">
        <f t="shared" si="8"/>
        <v>-12.055604625289469</v>
      </c>
      <c r="J121" s="1">
        <v>-1.2980983239688675</v>
      </c>
      <c r="K121" s="1">
        <f t="shared" si="9"/>
        <v>-1.2980983239688675</v>
      </c>
      <c r="L121" s="1">
        <f t="shared" si="10"/>
        <v>30.783812609683171</v>
      </c>
      <c r="M121" s="1">
        <f t="shared" si="11"/>
        <v>40.243220587034905</v>
      </c>
      <c r="N121" s="1">
        <f t="shared" si="12"/>
        <v>115.72394182295248</v>
      </c>
      <c r="O121" s="41"/>
    </row>
    <row r="122" spans="1:15" x14ac:dyDescent="0.25">
      <c r="A122" s="42" t="s">
        <v>350</v>
      </c>
      <c r="B122" s="43">
        <v>29.773913043478299</v>
      </c>
      <c r="C122" s="44">
        <v>120</v>
      </c>
      <c r="D122" s="44">
        <f t="shared" si="7"/>
        <v>14400</v>
      </c>
      <c r="E122" s="43">
        <v>41.693373103927577</v>
      </c>
      <c r="F122" s="43">
        <v>142.07352813264552</v>
      </c>
      <c r="G122" s="43">
        <v>90.896977134234803</v>
      </c>
      <c r="H122" s="43">
        <v>5.6904644533223445</v>
      </c>
      <c r="I122" s="43">
        <f t="shared" si="8"/>
        <v>-11.919460060449278</v>
      </c>
      <c r="J122" s="43">
        <v>-0.81543195478137964</v>
      </c>
      <c r="K122" s="43">
        <f t="shared" si="9"/>
        <v>-0.81543195478137964</v>
      </c>
      <c r="L122" s="43">
        <f t="shared" si="10"/>
        <v>30.58934499825968</v>
      </c>
      <c r="M122" s="43">
        <f t="shared" si="11"/>
        <v>40.877941149146196</v>
      </c>
      <c r="N122" s="43">
        <f t="shared" si="12"/>
        <v>123.29944017146259</v>
      </c>
      <c r="O122" s="41"/>
    </row>
    <row r="123" spans="1:15" x14ac:dyDescent="0.25">
      <c r="A123" s="38" t="s">
        <v>351</v>
      </c>
      <c r="B123" s="39">
        <v>29.8571428571429</v>
      </c>
      <c r="C123" s="40">
        <v>121</v>
      </c>
      <c r="D123" s="40">
        <f t="shared" si="7"/>
        <v>14641</v>
      </c>
      <c r="E123" s="39">
        <v>41.846699716875854</v>
      </c>
      <c r="F123" s="39">
        <v>143.74947369276953</v>
      </c>
      <c r="G123" s="39">
        <v>89.316879810622083</v>
      </c>
      <c r="H123" s="39">
        <v>6.4454854028808226</v>
      </c>
      <c r="I123" s="39">
        <f t="shared" si="8"/>
        <v>-11.989556859732954</v>
      </c>
      <c r="J123" s="1">
        <v>1.8112585460347563</v>
      </c>
      <c r="K123" s="1">
        <f t="shared" si="9"/>
        <v>1.8112585460347563</v>
      </c>
      <c r="L123" s="1">
        <f t="shared" si="10"/>
        <v>28.045884311108143</v>
      </c>
      <c r="M123" s="1">
        <f t="shared" si="11"/>
        <v>43.657958262910611</v>
      </c>
      <c r="N123" s="1">
        <f t="shared" si="12"/>
        <v>190.46250586407538</v>
      </c>
      <c r="O123" s="41"/>
    </row>
    <row r="124" spans="1:15" x14ac:dyDescent="0.25">
      <c r="A124" s="41" t="s">
        <v>352</v>
      </c>
      <c r="B124" s="1">
        <v>28.662500000000001</v>
      </c>
      <c r="C124">
        <v>122</v>
      </c>
      <c r="D124">
        <f t="shared" si="7"/>
        <v>14884</v>
      </c>
      <c r="E124" s="1">
        <v>42.001298749848594</v>
      </c>
      <c r="F124" s="1">
        <v>177.92355208896237</v>
      </c>
      <c r="G124" s="1">
        <v>113.32461914944984</v>
      </c>
      <c r="H124" s="1">
        <v>7.2543770935474106</v>
      </c>
      <c r="I124" s="1">
        <f t="shared" si="8"/>
        <v>-13.338798749848593</v>
      </c>
      <c r="J124" s="1">
        <v>1.7118881857449326</v>
      </c>
      <c r="K124" s="1">
        <f t="shared" si="9"/>
        <v>1.7118881857449326</v>
      </c>
      <c r="L124" s="1">
        <f t="shared" si="10"/>
        <v>26.950611814255069</v>
      </c>
      <c r="M124" s="1">
        <f t="shared" si="11"/>
        <v>43.713186935593527</v>
      </c>
      <c r="N124" s="1">
        <f t="shared" si="12"/>
        <v>226.5231772332456</v>
      </c>
      <c r="O124" s="41"/>
    </row>
    <row r="125" spans="1:15" x14ac:dyDescent="0.25">
      <c r="A125" s="41" t="s">
        <v>353</v>
      </c>
      <c r="B125" s="1">
        <v>28.334782608695701</v>
      </c>
      <c r="C125">
        <v>123</v>
      </c>
      <c r="D125">
        <f t="shared" si="7"/>
        <v>15129</v>
      </c>
      <c r="E125" s="1">
        <v>42.157170202845805</v>
      </c>
      <c r="F125" s="1">
        <v>191.0583988029147</v>
      </c>
      <c r="G125" s="1">
        <v>120.40938567369041</v>
      </c>
      <c r="H125" s="1">
        <v>8.1183198147540505</v>
      </c>
      <c r="I125" s="1">
        <f t="shared" si="8"/>
        <v>-13.822387594150104</v>
      </c>
      <c r="J125" s="1">
        <v>0.78712307023048333</v>
      </c>
      <c r="K125" s="1">
        <f t="shared" si="9"/>
        <v>0.78712307023048333</v>
      </c>
      <c r="L125" s="1">
        <f t="shared" si="10"/>
        <v>27.547659538465219</v>
      </c>
      <c r="M125" s="1">
        <f t="shared" si="11"/>
        <v>42.944293273076291</v>
      </c>
      <c r="N125" s="1">
        <f t="shared" si="12"/>
        <v>213.43780185265018</v>
      </c>
      <c r="O125" s="41"/>
    </row>
    <row r="126" spans="1:15" x14ac:dyDescent="0.25">
      <c r="A126" s="41" t="s">
        <v>354</v>
      </c>
      <c r="B126" s="1">
        <v>29.7522727272727</v>
      </c>
      <c r="C126">
        <v>124</v>
      </c>
      <c r="D126">
        <f t="shared" si="7"/>
        <v>15376</v>
      </c>
      <c r="E126" s="1">
        <v>42.314314075867479</v>
      </c>
      <c r="F126" s="1">
        <v>157.80488284380493</v>
      </c>
      <c r="G126" s="1">
        <v>91.310082580938115</v>
      </c>
      <c r="H126" s="1">
        <v>9.038503570248924</v>
      </c>
      <c r="I126" s="1">
        <f t="shared" si="8"/>
        <v>-12.562041348594779</v>
      </c>
      <c r="J126" s="1">
        <v>0.44727471415567188</v>
      </c>
      <c r="K126" s="1">
        <f t="shared" si="9"/>
        <v>0.44727471415567188</v>
      </c>
      <c r="L126" s="1">
        <f t="shared" si="10"/>
        <v>29.304998013117029</v>
      </c>
      <c r="M126" s="1">
        <f t="shared" si="11"/>
        <v>42.761588790023154</v>
      </c>
      <c r="N126" s="1">
        <f t="shared" si="12"/>
        <v>169.24230442053698</v>
      </c>
      <c r="O126" s="41"/>
    </row>
    <row r="127" spans="1:15" x14ac:dyDescent="0.25">
      <c r="A127" s="41" t="s">
        <v>355</v>
      </c>
      <c r="B127" s="1">
        <v>30.257142857142899</v>
      </c>
      <c r="C127">
        <v>125</v>
      </c>
      <c r="D127">
        <f t="shared" si="7"/>
        <v>15625</v>
      </c>
      <c r="E127" s="1">
        <v>42.472730368913624</v>
      </c>
      <c r="F127" s="1">
        <v>149.22057825772887</v>
      </c>
      <c r="G127" s="1">
        <v>81.916271165889981</v>
      </c>
      <c r="H127" s="1">
        <v>10.016128078096603</v>
      </c>
      <c r="I127" s="1">
        <f t="shared" si="8"/>
        <v>-12.215587511770725</v>
      </c>
      <c r="J127" s="1">
        <v>-5.3186412544197974E-2</v>
      </c>
      <c r="K127" s="1">
        <f t="shared" si="9"/>
        <v>-5.3186412544197974E-2</v>
      </c>
      <c r="L127" s="1">
        <f t="shared" si="10"/>
        <v>30.310329269687095</v>
      </c>
      <c r="M127" s="1">
        <f t="shared" si="11"/>
        <v>42.419543956369424</v>
      </c>
      <c r="N127" s="1">
        <f t="shared" si="12"/>
        <v>147.92400049846657</v>
      </c>
      <c r="O127" s="41"/>
    </row>
    <row r="128" spans="1:15" x14ac:dyDescent="0.25">
      <c r="A128" s="41" t="s">
        <v>356</v>
      </c>
      <c r="B128" s="1">
        <v>32.142105263157902</v>
      </c>
      <c r="C128">
        <v>126</v>
      </c>
      <c r="D128">
        <f t="shared" si="7"/>
        <v>15876</v>
      </c>
      <c r="E128" s="1">
        <v>42.632419081984231</v>
      </c>
      <c r="F128" s="1">
        <v>110.04668401745866</v>
      </c>
      <c r="G128" s="1">
        <v>51.348666708011613</v>
      </c>
      <c r="H128" s="1">
        <v>11.052402770677883</v>
      </c>
      <c r="I128" s="1">
        <f t="shared" si="8"/>
        <v>-10.49031381882633</v>
      </c>
      <c r="J128" s="1">
        <v>-0.38758612468901388</v>
      </c>
      <c r="K128" s="1">
        <f t="shared" si="9"/>
        <v>-0.38758612468901388</v>
      </c>
      <c r="L128" s="1">
        <f t="shared" si="10"/>
        <v>32.529691387846917</v>
      </c>
      <c r="M128" s="1">
        <f t="shared" si="11"/>
        <v>42.244832957295216</v>
      </c>
      <c r="N128" s="1">
        <f t="shared" si="12"/>
        <v>102.06510686188906</v>
      </c>
      <c r="O128" s="41"/>
    </row>
    <row r="129" spans="1:15" x14ac:dyDescent="0.25">
      <c r="A129" s="41" t="s">
        <v>357</v>
      </c>
      <c r="B129" s="1">
        <v>32.338636363636397</v>
      </c>
      <c r="C129">
        <v>127</v>
      </c>
      <c r="D129">
        <f t="shared" si="7"/>
        <v>16129</v>
      </c>
      <c r="E129" s="1">
        <v>42.79338021507931</v>
      </c>
      <c r="F129" s="1">
        <v>109.30166899928339</v>
      </c>
      <c r="G129" s="1">
        <v>48.570686690788065</v>
      </c>
      <c r="H129" s="1">
        <v>12.148546794689969</v>
      </c>
      <c r="I129" s="1">
        <f t="shared" si="8"/>
        <v>-10.454743851442913</v>
      </c>
      <c r="J129" s="1">
        <v>-1.057971269155332</v>
      </c>
      <c r="K129" s="1">
        <f t="shared" si="9"/>
        <v>-1.057971269155332</v>
      </c>
      <c r="L129" s="1">
        <f t="shared" si="10"/>
        <v>33.396607632791728</v>
      </c>
      <c r="M129" s="1">
        <f t="shared" si="11"/>
        <v>41.735408945923979</v>
      </c>
      <c r="N129" s="1">
        <f t="shared" si="12"/>
        <v>88.29933496323163</v>
      </c>
      <c r="O129" s="41"/>
    </row>
    <row r="130" spans="1:15" x14ac:dyDescent="0.25">
      <c r="A130" s="41" t="s">
        <v>358</v>
      </c>
      <c r="B130" s="1">
        <v>32.147727272727302</v>
      </c>
      <c r="C130">
        <v>128</v>
      </c>
      <c r="D130">
        <f t="shared" si="7"/>
        <v>16384</v>
      </c>
      <c r="E130" s="1">
        <v>42.955613768198852</v>
      </c>
      <c r="F130" s="1">
        <v>116.8104104989963</v>
      </c>
      <c r="G130" s="1">
        <v>51.268125940649952</v>
      </c>
      <c r="H130" s="1">
        <v>13.305789011146274</v>
      </c>
      <c r="I130" s="1">
        <f t="shared" si="8"/>
        <v>-10.80788649547155</v>
      </c>
      <c r="J130" s="1">
        <v>-1.3968802865950825</v>
      </c>
      <c r="K130" s="1">
        <f t="shared" si="9"/>
        <v>-1.3968802865950825</v>
      </c>
      <c r="L130" s="1">
        <f t="shared" si="10"/>
        <v>33.544607559322387</v>
      </c>
      <c r="M130" s="1">
        <f t="shared" si="11"/>
        <v>41.558733481603767</v>
      </c>
      <c r="N130" s="1">
        <f t="shared" si="12"/>
        <v>88.567037863511374</v>
      </c>
      <c r="O130" s="41"/>
    </row>
    <row r="131" spans="1:15" x14ac:dyDescent="0.25">
      <c r="A131" s="41" t="s">
        <v>359</v>
      </c>
      <c r="B131" s="1">
        <v>45.078125</v>
      </c>
      <c r="C131">
        <v>129</v>
      </c>
      <c r="D131">
        <f t="shared" si="7"/>
        <v>16641</v>
      </c>
      <c r="E131" s="1">
        <v>43.119119741342864</v>
      </c>
      <c r="F131" s="1">
        <v>3.8377016034463125</v>
      </c>
      <c r="G131" s="1">
        <v>33.295454277300074</v>
      </c>
      <c r="H131" s="1">
        <v>14.52536799537663</v>
      </c>
      <c r="I131" s="1">
        <f t="shared" si="8"/>
        <v>1.959005258657136</v>
      </c>
      <c r="J131" s="1">
        <v>0.26415847466672415</v>
      </c>
      <c r="K131" s="1">
        <f t="shared" si="9"/>
        <v>0.26415847466672415</v>
      </c>
      <c r="L131" s="1">
        <f t="shared" si="10"/>
        <v>44.813966525333278</v>
      </c>
      <c r="M131" s="1">
        <f t="shared" si="11"/>
        <v>43.383278216009586</v>
      </c>
      <c r="N131" s="1">
        <f t="shared" si="12"/>
        <v>2.8725056212026492</v>
      </c>
      <c r="O131" s="41"/>
    </row>
    <row r="132" spans="1:15" x14ac:dyDescent="0.25">
      <c r="A132" s="41" t="s">
        <v>360</v>
      </c>
      <c r="B132" s="1">
        <v>38.476190476190503</v>
      </c>
      <c r="C132">
        <v>130</v>
      </c>
      <c r="D132">
        <f t="shared" ref="D132:D180" si="13">C132^2</f>
        <v>16900</v>
      </c>
      <c r="E132" s="1">
        <v>43.28389813451134</v>
      </c>
      <c r="F132" s="1">
        <v>23.114052927876823</v>
      </c>
      <c r="G132" s="1">
        <v>0.69174682520938136</v>
      </c>
      <c r="H132" s="1">
        <v>15.808532037027076</v>
      </c>
      <c r="I132" s="1">
        <f t="shared" ref="I132:I180" si="14">B132-E132</f>
        <v>-4.8077076583208367</v>
      </c>
      <c r="J132" s="1">
        <v>-9.9088507363074521E-2</v>
      </c>
      <c r="K132" s="1">
        <f t="shared" ref="K132:K180" si="15">J132-I313</f>
        <v>-9.9088507363074521E-2</v>
      </c>
      <c r="L132" s="1">
        <f t="shared" ref="L132:L180" si="16">B132-K132</f>
        <v>38.575278983553581</v>
      </c>
      <c r="M132" s="1">
        <f t="shared" ref="M132:M180" si="17">E132+K132</f>
        <v>43.184809627148262</v>
      </c>
      <c r="N132" s="1">
        <f t="shared" ref="N132:N180" si="18">(B132-M132)^2</f>
        <v>22.171094308766165</v>
      </c>
      <c r="O132" s="41"/>
    </row>
    <row r="133" spans="1:15" x14ac:dyDescent="0.25">
      <c r="A133" s="41" t="s">
        <v>361</v>
      </c>
      <c r="B133" s="1">
        <v>31.099584036972999</v>
      </c>
      <c r="C133">
        <v>131</v>
      </c>
      <c r="D133">
        <f t="shared" si="13"/>
        <v>17161</v>
      </c>
      <c r="E133" s="1">
        <v>43.449948947704286</v>
      </c>
      <c r="F133" s="1">
        <v>152.53151342822264</v>
      </c>
      <c r="G133" s="1">
        <v>67.376511083973128</v>
      </c>
      <c r="H133" s="1">
        <v>17.156539140060065</v>
      </c>
      <c r="I133" s="1">
        <f t="shared" si="14"/>
        <v>-12.350364910731287</v>
      </c>
      <c r="J133" s="1">
        <v>-1.2980983239688675</v>
      </c>
      <c r="K133" s="1">
        <f t="shared" si="15"/>
        <v>-1.2980983239688675</v>
      </c>
      <c r="L133" s="1">
        <f t="shared" si="16"/>
        <v>32.397682360941864</v>
      </c>
      <c r="M133" s="1">
        <f t="shared" si="17"/>
        <v>42.15185062373542</v>
      </c>
      <c r="N133" s="1">
        <f t="shared" si="18"/>
        <v>122.15259670486506</v>
      </c>
      <c r="O133" s="41"/>
    </row>
    <row r="134" spans="1:15" x14ac:dyDescent="0.25">
      <c r="A134" s="42" t="s">
        <v>362</v>
      </c>
      <c r="B134" s="43">
        <v>36.129303027444998</v>
      </c>
      <c r="C134" s="44">
        <v>132</v>
      </c>
      <c r="D134" s="44">
        <f t="shared" si="13"/>
        <v>17424</v>
      </c>
      <c r="E134" s="43">
        <v>43.617272180921695</v>
      </c>
      <c r="F134" s="43">
        <v>56.069682043418531</v>
      </c>
      <c r="G134" s="43">
        <v>10.10350200071974</v>
      </c>
      <c r="H134" s="43">
        <v>18.570657022754258</v>
      </c>
      <c r="I134" s="43">
        <f t="shared" si="14"/>
        <v>-7.4879691534766977</v>
      </c>
      <c r="J134" s="43">
        <v>-0.81543195478137964</v>
      </c>
      <c r="K134" s="43">
        <f t="shared" si="15"/>
        <v>-0.81543195478137964</v>
      </c>
      <c r="L134" s="43">
        <f t="shared" si="16"/>
        <v>36.944734982226379</v>
      </c>
      <c r="M134" s="43">
        <f t="shared" si="17"/>
        <v>42.801840226140314</v>
      </c>
      <c r="N134" s="43">
        <f t="shared" si="18"/>
        <v>44.522752667972739</v>
      </c>
      <c r="O134" s="41"/>
    </row>
    <row r="135" spans="1:15" x14ac:dyDescent="0.25">
      <c r="A135" s="38" t="s">
        <v>363</v>
      </c>
      <c r="B135" s="39">
        <v>36.872921185827899</v>
      </c>
      <c r="C135" s="40">
        <v>133</v>
      </c>
      <c r="D135" s="40">
        <f t="shared" si="13"/>
        <v>17689</v>
      </c>
      <c r="E135" s="39">
        <v>43.785867834163575</v>
      </c>
      <c r="F135" s="39">
        <v>47.788831362735465</v>
      </c>
      <c r="G135" s="39">
        <v>5.9291396644179137</v>
      </c>
      <c r="H135" s="39">
        <v>20.05216311770474</v>
      </c>
      <c r="I135" s="39">
        <f t="shared" si="14"/>
        <v>-6.9129466483356765</v>
      </c>
      <c r="J135" s="1">
        <v>1.8112585460347563</v>
      </c>
      <c r="K135" s="1">
        <f t="shared" si="15"/>
        <v>1.8112585460347563</v>
      </c>
      <c r="L135" s="1">
        <f t="shared" si="16"/>
        <v>35.061662639793141</v>
      </c>
      <c r="M135" s="1">
        <f t="shared" si="17"/>
        <v>45.597126380198333</v>
      </c>
      <c r="N135" s="1">
        <f t="shared" si="18"/>
        <v>76.111756273480054</v>
      </c>
      <c r="O135" s="41"/>
    </row>
    <row r="136" spans="1:15" x14ac:dyDescent="0.25">
      <c r="A136" s="41" t="s">
        <v>364</v>
      </c>
      <c r="B136" s="1">
        <v>35.8319143167028</v>
      </c>
      <c r="C136">
        <v>134</v>
      </c>
      <c r="D136">
        <f t="shared" si="13"/>
        <v>17956</v>
      </c>
      <c r="E136" s="1">
        <v>43.955735907429919</v>
      </c>
      <c r="F136" s="1">
        <v>65.996477237964086</v>
      </c>
      <c r="G136" s="1">
        <v>12.082501935975239</v>
      </c>
      <c r="H136" s="1">
        <v>21.602344571822783</v>
      </c>
      <c r="I136" s="1">
        <f t="shared" si="14"/>
        <v>-8.1238215907271183</v>
      </c>
      <c r="J136" s="1">
        <v>1.7118881857449326</v>
      </c>
      <c r="K136" s="1">
        <f t="shared" si="15"/>
        <v>1.7118881857449326</v>
      </c>
      <c r="L136" s="1">
        <f t="shared" si="16"/>
        <v>34.120026130957868</v>
      </c>
      <c r="M136" s="1">
        <f t="shared" si="17"/>
        <v>45.667624093174851</v>
      </c>
      <c r="N136" s="1">
        <f t="shared" si="18"/>
        <v>96.741186806987884</v>
      </c>
      <c r="O136" s="41"/>
    </row>
    <row r="137" spans="1:15" x14ac:dyDescent="0.25">
      <c r="A137" s="41" t="s">
        <v>365</v>
      </c>
      <c r="B137" s="1">
        <v>45.514701028010897</v>
      </c>
      <c r="C137">
        <v>135</v>
      </c>
      <c r="D137">
        <f t="shared" si="13"/>
        <v>18225</v>
      </c>
      <c r="E137" s="1">
        <v>44.126876400720732</v>
      </c>
      <c r="F137" s="1">
        <v>1.926057196113085</v>
      </c>
      <c r="G137" s="1">
        <v>38.524333529585533</v>
      </c>
      <c r="H137" s="1">
        <v>23.222498246336109</v>
      </c>
      <c r="I137" s="1">
        <f t="shared" si="14"/>
        <v>1.3878246272901649</v>
      </c>
      <c r="J137" s="1">
        <v>0.78712307023048333</v>
      </c>
      <c r="K137" s="1">
        <f t="shared" si="15"/>
        <v>0.78712307023048333</v>
      </c>
      <c r="L137" s="1">
        <f t="shared" si="16"/>
        <v>44.727577957780412</v>
      </c>
      <c r="M137" s="1">
        <f t="shared" si="17"/>
        <v>44.913999470951218</v>
      </c>
      <c r="N137" s="1">
        <f t="shared" si="18"/>
        <v>0.36084236065392306</v>
      </c>
      <c r="O137" s="41"/>
    </row>
    <row r="138" spans="1:15" x14ac:dyDescent="0.25">
      <c r="A138" s="41" t="s">
        <v>366</v>
      </c>
      <c r="B138" s="1">
        <v>48.704730916227597</v>
      </c>
      <c r="C138">
        <v>136</v>
      </c>
      <c r="D138">
        <f t="shared" si="13"/>
        <v>18496</v>
      </c>
      <c r="E138" s="1">
        <v>44.299289314036017</v>
      </c>
      <c r="F138" s="1">
        <v>19.407915710320314</v>
      </c>
      <c r="G138" s="1">
        <v>88.30036242590981</v>
      </c>
      <c r="H138" s="1">
        <v>24.913930716788681</v>
      </c>
      <c r="I138" s="1">
        <f t="shared" si="14"/>
        <v>4.4054416021915799</v>
      </c>
      <c r="J138" s="1">
        <v>0.44727471415567188</v>
      </c>
      <c r="K138" s="1">
        <f t="shared" si="15"/>
        <v>0.44727471415567188</v>
      </c>
      <c r="L138" s="1">
        <f t="shared" si="16"/>
        <v>48.257456202071921</v>
      </c>
      <c r="M138" s="1">
        <f t="shared" si="17"/>
        <v>44.746564028191692</v>
      </c>
      <c r="N138" s="1">
        <f t="shared" si="18"/>
        <v>15.667085113543838</v>
      </c>
      <c r="O138" s="41"/>
    </row>
    <row r="139" spans="1:15" x14ac:dyDescent="0.25">
      <c r="A139" s="41" t="s">
        <v>367</v>
      </c>
      <c r="B139" s="1">
        <v>40.891626405048299</v>
      </c>
      <c r="C139">
        <v>137</v>
      </c>
      <c r="D139">
        <f t="shared" si="13"/>
        <v>18769</v>
      </c>
      <c r="E139" s="1">
        <v>44.472974647375757</v>
      </c>
      <c r="F139" s="1">
        <v>12.826055232821972</v>
      </c>
      <c r="G139" s="1">
        <v>2.508177723497095</v>
      </c>
      <c r="H139" s="1">
        <v>26.677958273040627</v>
      </c>
      <c r="I139" s="1">
        <f t="shared" si="14"/>
        <v>-3.5813482423274579</v>
      </c>
      <c r="J139" s="1">
        <v>-5.3186412544197974E-2</v>
      </c>
      <c r="K139" s="1">
        <f t="shared" si="15"/>
        <v>-5.3186412544197974E-2</v>
      </c>
      <c r="L139" s="1">
        <f t="shared" si="16"/>
        <v>40.944812817592499</v>
      </c>
      <c r="M139" s="1">
        <f t="shared" si="17"/>
        <v>44.419788234831557</v>
      </c>
      <c r="N139" s="1">
        <f t="shared" si="18"/>
        <v>12.447925897139546</v>
      </c>
      <c r="O139" s="41"/>
    </row>
    <row r="140" spans="1:15" x14ac:dyDescent="0.25">
      <c r="A140" s="41" t="s">
        <v>368</v>
      </c>
      <c r="B140" s="1">
        <v>40.331517452179</v>
      </c>
      <c r="C140">
        <v>138</v>
      </c>
      <c r="D140">
        <f t="shared" si="13"/>
        <v>19044</v>
      </c>
      <c r="E140" s="1">
        <v>44.647932400739975</v>
      </c>
      <c r="F140" s="1">
        <v>18.63143800816065</v>
      </c>
      <c r="G140" s="1">
        <v>1.0477851892785359</v>
      </c>
      <c r="H140" s="1">
        <v>28.515906919268751</v>
      </c>
      <c r="I140" s="1">
        <f t="shared" si="14"/>
        <v>-4.3164149485609755</v>
      </c>
      <c r="J140" s="1">
        <v>-0.38758612468901388</v>
      </c>
      <c r="K140" s="1">
        <f t="shared" si="15"/>
        <v>-0.38758612468901388</v>
      </c>
      <c r="L140" s="1">
        <f t="shared" si="16"/>
        <v>40.719103576868015</v>
      </c>
      <c r="M140" s="1">
        <f t="shared" si="17"/>
        <v>44.26034627605096</v>
      </c>
      <c r="N140" s="1">
        <f t="shared" si="18"/>
        <v>15.43569592728713</v>
      </c>
      <c r="O140" s="41"/>
    </row>
    <row r="141" spans="1:15" x14ac:dyDescent="0.25">
      <c r="A141" s="41" t="s">
        <v>369</v>
      </c>
      <c r="B141" s="1">
        <v>38.939159177770797</v>
      </c>
      <c r="C141">
        <v>139</v>
      </c>
      <c r="D141">
        <f t="shared" si="13"/>
        <v>19321</v>
      </c>
      <c r="E141" s="1">
        <v>44.824162574128657</v>
      </c>
      <c r="F141" s="1">
        <v>34.63326497514354</v>
      </c>
      <c r="G141" s="1">
        <v>0.13597249542976542</v>
      </c>
      <c r="H141" s="1">
        <v>30.429112373965811</v>
      </c>
      <c r="I141" s="1">
        <f t="shared" si="14"/>
        <v>-5.8850033963578596</v>
      </c>
      <c r="J141" s="1">
        <v>-1.057971269155332</v>
      </c>
      <c r="K141" s="1">
        <f t="shared" si="15"/>
        <v>-1.057971269155332</v>
      </c>
      <c r="L141" s="1">
        <f t="shared" si="16"/>
        <v>39.997130446926128</v>
      </c>
      <c r="M141" s="1">
        <f t="shared" si="17"/>
        <v>43.766191304973326</v>
      </c>
      <c r="N141" s="1">
        <f t="shared" si="18"/>
        <v>23.300239157045368</v>
      </c>
      <c r="O141" s="41"/>
    </row>
    <row r="142" spans="1:15" x14ac:dyDescent="0.25">
      <c r="A142" s="41" t="s">
        <v>370</v>
      </c>
      <c r="B142" s="1">
        <v>39.802308308969103</v>
      </c>
      <c r="C142">
        <v>140</v>
      </c>
      <c r="D142">
        <f t="shared" si="13"/>
        <v>19600</v>
      </c>
      <c r="E142" s="1">
        <v>45.001665167541802</v>
      </c>
      <c r="F142" s="1">
        <v>27.033311742786964</v>
      </c>
      <c r="G142" s="1">
        <v>0.24443595389842748</v>
      </c>
      <c r="H142" s="1">
        <v>32.418920069941009</v>
      </c>
      <c r="I142" s="1">
        <f t="shared" si="14"/>
        <v>-5.199356858572699</v>
      </c>
      <c r="J142" s="1">
        <v>-1.3968802865950825</v>
      </c>
      <c r="K142" s="1">
        <f t="shared" si="15"/>
        <v>-1.3968802865950825</v>
      </c>
      <c r="L142" s="1">
        <f t="shared" si="16"/>
        <v>41.199188595564188</v>
      </c>
      <c r="M142" s="1">
        <f t="shared" si="17"/>
        <v>43.604784880946717</v>
      </c>
      <c r="N142" s="1">
        <f t="shared" si="18"/>
        <v>14.458828080438627</v>
      </c>
      <c r="O142" s="41"/>
    </row>
    <row r="143" spans="1:15" x14ac:dyDescent="0.25">
      <c r="A143" s="41" t="s">
        <v>371</v>
      </c>
      <c r="B143" s="1">
        <v>40.950391934529598</v>
      </c>
      <c r="C143">
        <v>141</v>
      </c>
      <c r="D143">
        <f t="shared" si="13"/>
        <v>19881</v>
      </c>
      <c r="E143" s="1">
        <v>45.180440180979417</v>
      </c>
      <c r="F143" s="1">
        <v>17.893308167293188</v>
      </c>
      <c r="G143" s="1">
        <v>2.6977677219215748</v>
      </c>
      <c r="H143" s="1">
        <v>34.486685154319943</v>
      </c>
      <c r="I143" s="1">
        <f t="shared" si="14"/>
        <v>-4.2300482464498188</v>
      </c>
      <c r="J143" s="1">
        <v>0.26415847466672415</v>
      </c>
      <c r="K143" s="1">
        <f t="shared" si="15"/>
        <v>0.26415847466672415</v>
      </c>
      <c r="L143" s="1">
        <f t="shared" si="16"/>
        <v>40.686233459862876</v>
      </c>
      <c r="M143" s="1">
        <f t="shared" si="17"/>
        <v>45.444598655646139</v>
      </c>
      <c r="N143" s="1">
        <f t="shared" si="18"/>
        <v>20.19789405212909</v>
      </c>
      <c r="O143" s="41"/>
    </row>
    <row r="144" spans="1:15" x14ac:dyDescent="0.25">
      <c r="A144" s="41" t="s">
        <v>372</v>
      </c>
      <c r="B144" s="1">
        <v>41.303597252349903</v>
      </c>
      <c r="C144">
        <v>142</v>
      </c>
      <c r="D144">
        <f t="shared" si="13"/>
        <v>20164</v>
      </c>
      <c r="E144" s="1">
        <v>45.360487614441496</v>
      </c>
      <c r="F144" s="1">
        <v>16.458359410031658</v>
      </c>
      <c r="G144" s="1">
        <v>3.9827929023405737</v>
      </c>
      <c r="H144" s="1">
        <v>36.633772488544373</v>
      </c>
      <c r="I144" s="1">
        <f t="shared" si="14"/>
        <v>-4.0568903620915933</v>
      </c>
      <c r="J144" s="1">
        <v>-9.9088507363074521E-2</v>
      </c>
      <c r="K144" s="1">
        <f t="shared" si="15"/>
        <v>-9.9088507363074521E-2</v>
      </c>
      <c r="L144" s="1">
        <f t="shared" si="16"/>
        <v>41.40268575971298</v>
      </c>
      <c r="M144" s="1">
        <f t="shared" si="17"/>
        <v>45.261399107078418</v>
      </c>
      <c r="N144" s="1">
        <f t="shared" si="18"/>
        <v>15.664195521292477</v>
      </c>
      <c r="O144" s="41"/>
    </row>
    <row r="145" spans="1:15" x14ac:dyDescent="0.25">
      <c r="A145" s="41" t="s">
        <v>373</v>
      </c>
      <c r="B145" s="1">
        <v>40.954064780122202</v>
      </c>
      <c r="C145">
        <v>143</v>
      </c>
      <c r="D145">
        <f t="shared" si="13"/>
        <v>20449</v>
      </c>
      <c r="E145" s="1">
        <v>45.541807467928045</v>
      </c>
      <c r="F145" s="1">
        <v>21.047382969515979</v>
      </c>
      <c r="G145" s="1">
        <v>2.7098464233338775</v>
      </c>
      <c r="H145" s="1">
        <v>38.861556648372527</v>
      </c>
      <c r="I145" s="1">
        <f t="shared" si="14"/>
        <v>-4.5877426878058429</v>
      </c>
      <c r="J145" s="1">
        <v>-1.2980983239688675</v>
      </c>
      <c r="K145" s="1">
        <f t="shared" si="15"/>
        <v>-1.2980983239688675</v>
      </c>
      <c r="L145" s="1">
        <f t="shared" si="16"/>
        <v>42.252163104091068</v>
      </c>
      <c r="M145" s="1">
        <f t="shared" si="17"/>
        <v>44.24370914395918</v>
      </c>
      <c r="N145" s="1">
        <f t="shared" si="18"/>
        <v>10.821760040524392</v>
      </c>
      <c r="O145" s="41"/>
    </row>
    <row r="146" spans="1:15" x14ac:dyDescent="0.25">
      <c r="A146" s="42" t="s">
        <v>374</v>
      </c>
      <c r="B146" s="43">
        <v>39.178243936107201</v>
      </c>
      <c r="C146" s="44">
        <v>144</v>
      </c>
      <c r="D146" s="44">
        <f t="shared" si="13"/>
        <v>20736</v>
      </c>
      <c r="E146" s="43">
        <v>45.724399741439065</v>
      </c>
      <c r="F146" s="43">
        <v>42.852155827680065</v>
      </c>
      <c r="G146" s="43">
        <v>1.6811644792970343E-2</v>
      </c>
      <c r="H146" s="43">
        <v>41.171421923878867</v>
      </c>
      <c r="I146" s="43">
        <f t="shared" si="14"/>
        <v>-6.546155805331864</v>
      </c>
      <c r="J146" s="43">
        <v>-0.81543195478137964</v>
      </c>
      <c r="K146" s="43">
        <f t="shared" si="15"/>
        <v>-0.81543195478137964</v>
      </c>
      <c r="L146" s="43">
        <f t="shared" si="16"/>
        <v>39.993675890888582</v>
      </c>
      <c r="M146" s="43">
        <f t="shared" si="17"/>
        <v>44.908967786657684</v>
      </c>
      <c r="N146" s="43">
        <f t="shared" si="18"/>
        <v>32.841195851268154</v>
      </c>
      <c r="O146" s="41"/>
    </row>
    <row r="147" spans="1:15" x14ac:dyDescent="0.25">
      <c r="A147" s="38" t="s">
        <v>375</v>
      </c>
      <c r="B147" s="39">
        <v>40.063399723920199</v>
      </c>
      <c r="C147" s="40">
        <v>145</v>
      </c>
      <c r="D147" s="40">
        <f t="shared" si="13"/>
        <v>21025</v>
      </c>
      <c r="E147" s="39">
        <v>45.908264434974548</v>
      </c>
      <c r="F147" s="39">
        <v>34.162443490528439</v>
      </c>
      <c r="G147" s="39">
        <v>0.57077429797821466</v>
      </c>
      <c r="H147" s="39">
        <v>43.564762319454069</v>
      </c>
      <c r="I147" s="39">
        <f t="shared" si="14"/>
        <v>-5.844864711054349</v>
      </c>
      <c r="J147" s="1">
        <v>1.8112585460347563</v>
      </c>
      <c r="K147" s="1">
        <f t="shared" si="15"/>
        <v>1.8112585460347563</v>
      </c>
      <c r="L147" s="1">
        <f t="shared" si="16"/>
        <v>38.252141177885441</v>
      </c>
      <c r="M147" s="1">
        <f t="shared" si="17"/>
        <v>47.719522981009305</v>
      </c>
      <c r="N147" s="1">
        <f t="shared" si="18"/>
        <v>58.616223327740705</v>
      </c>
      <c r="O147" s="41"/>
    </row>
    <row r="148" spans="1:15" x14ac:dyDescent="0.25">
      <c r="A148" s="41" t="s">
        <v>376</v>
      </c>
      <c r="B148" s="1">
        <v>41.314370932754798</v>
      </c>
      <c r="C148">
        <v>146</v>
      </c>
      <c r="D148">
        <f t="shared" si="13"/>
        <v>21316</v>
      </c>
      <c r="E148" s="1">
        <v>46.093401548534494</v>
      </c>
      <c r="F148" s="1">
        <v>22.839133626559661</v>
      </c>
      <c r="G148" s="1">
        <v>4.0259109043642987</v>
      </c>
      <c r="H148" s="1">
        <v>46.042981553805213</v>
      </c>
      <c r="I148" s="1">
        <f t="shared" si="14"/>
        <v>-4.7790306157796962</v>
      </c>
      <c r="J148" s="1">
        <v>1.7118881857449326</v>
      </c>
      <c r="K148" s="1">
        <f t="shared" si="15"/>
        <v>1.7118881857449326</v>
      </c>
      <c r="L148" s="1">
        <f t="shared" si="16"/>
        <v>39.602482747009866</v>
      </c>
      <c r="M148" s="1">
        <f t="shared" si="17"/>
        <v>47.805289734279427</v>
      </c>
      <c r="N148" s="1">
        <f t="shared" si="18"/>
        <v>42.132026887985923</v>
      </c>
      <c r="O148" s="41"/>
    </row>
    <row r="149" spans="1:15" x14ac:dyDescent="0.25">
      <c r="A149" s="41" t="s">
        <v>377</v>
      </c>
      <c r="B149" s="1">
        <v>40.741523004909098</v>
      </c>
      <c r="C149">
        <v>147</v>
      </c>
      <c r="D149">
        <f t="shared" si="13"/>
        <v>21609</v>
      </c>
      <c r="E149" s="1">
        <v>46.279811082118911</v>
      </c>
      <c r="F149" s="1">
        <v>30.672634826164369</v>
      </c>
      <c r="G149" s="1">
        <v>2.0552644173294143</v>
      </c>
      <c r="H149" s="1">
        <v>48.607493059955793</v>
      </c>
      <c r="I149" s="1">
        <f t="shared" si="14"/>
        <v>-5.5382880772098133</v>
      </c>
      <c r="J149" s="1">
        <v>0.78712307023048333</v>
      </c>
      <c r="K149" s="1">
        <f t="shared" si="15"/>
        <v>0.78712307023048333</v>
      </c>
      <c r="L149" s="1">
        <f t="shared" si="16"/>
        <v>39.954399934678612</v>
      </c>
      <c r="M149" s="1">
        <f t="shared" si="17"/>
        <v>47.066934152349397</v>
      </c>
      <c r="N149" s="1">
        <f t="shared" si="18"/>
        <v>40.010826184161999</v>
      </c>
      <c r="O149" s="41"/>
    </row>
    <row r="150" spans="1:15" x14ac:dyDescent="0.25">
      <c r="A150" s="41" t="s">
        <v>378</v>
      </c>
      <c r="B150" s="1">
        <v>41.762017353579097</v>
      </c>
      <c r="C150">
        <v>148</v>
      </c>
      <c r="D150">
        <f t="shared" si="13"/>
        <v>21904</v>
      </c>
      <c r="E150" s="1">
        <v>46.467493035727799</v>
      </c>
      <c r="F150" s="1">
        <v>22.141501395292792</v>
      </c>
      <c r="G150" s="1">
        <v>6.022674006002803</v>
      </c>
      <c r="H150" s="1">
        <v>51.259719985245518</v>
      </c>
      <c r="I150" s="1">
        <f t="shared" si="14"/>
        <v>-4.7054756821487018</v>
      </c>
      <c r="J150" s="1">
        <v>0.44727471415567188</v>
      </c>
      <c r="K150" s="1">
        <f t="shared" si="15"/>
        <v>0.44727471415567188</v>
      </c>
      <c r="L150" s="1">
        <f t="shared" si="16"/>
        <v>41.314742639423422</v>
      </c>
      <c r="M150" s="1">
        <f t="shared" si="17"/>
        <v>46.914767749883474</v>
      </c>
      <c r="N150" s="1">
        <f t="shared" si="18"/>
        <v>26.550836646614915</v>
      </c>
      <c r="O150" s="41"/>
    </row>
    <row r="151" spans="1:15" x14ac:dyDescent="0.25">
      <c r="A151" s="41" t="s">
        <v>379</v>
      </c>
      <c r="B151" s="1">
        <v>43.462666226539497</v>
      </c>
      <c r="C151">
        <v>149</v>
      </c>
      <c r="D151">
        <f t="shared" si="13"/>
        <v>22201</v>
      </c>
      <c r="E151" s="1">
        <v>46.656447409361149</v>
      </c>
      <c r="F151" s="1">
        <v>10.200238243745673</v>
      </c>
      <c r="G151" s="1">
        <v>17.262051958906873</v>
      </c>
      <c r="H151" s="1">
        <v>54.0010951913303</v>
      </c>
      <c r="I151" s="1">
        <f t="shared" si="14"/>
        <v>-3.1937811828216525</v>
      </c>
      <c r="J151" s="1">
        <v>-5.3186412544197974E-2</v>
      </c>
      <c r="K151" s="1">
        <f t="shared" si="15"/>
        <v>-5.3186412544197974E-2</v>
      </c>
      <c r="L151" s="1">
        <f t="shared" si="16"/>
        <v>43.515852639083697</v>
      </c>
      <c r="M151" s="1">
        <f t="shared" si="17"/>
        <v>46.60326099681695</v>
      </c>
      <c r="N151" s="1">
        <f t="shared" si="18"/>
        <v>9.8633355110940855</v>
      </c>
      <c r="O151" s="41"/>
    </row>
    <row r="152" spans="1:15" x14ac:dyDescent="0.25">
      <c r="A152" s="41" t="s">
        <v>380</v>
      </c>
      <c r="B152" s="1">
        <v>45.700483139420101</v>
      </c>
      <c r="C152">
        <v>150</v>
      </c>
      <c r="D152">
        <f t="shared" si="13"/>
        <v>22500</v>
      </c>
      <c r="E152" s="1">
        <v>46.846674203018964</v>
      </c>
      <c r="F152" s="1">
        <v>1.313753954273893</v>
      </c>
      <c r="G152" s="1">
        <v>40.865072361605229</v>
      </c>
      <c r="H152" s="1">
        <v>56.833061254182475</v>
      </c>
      <c r="I152" s="1">
        <f t="shared" si="14"/>
        <v>-1.146191063598863</v>
      </c>
      <c r="J152" s="1">
        <v>-0.38758612468901388</v>
      </c>
      <c r="K152" s="1">
        <f t="shared" si="15"/>
        <v>-0.38758612468901388</v>
      </c>
      <c r="L152" s="1">
        <f t="shared" si="16"/>
        <v>46.088069264109116</v>
      </c>
      <c r="M152" s="1">
        <f t="shared" si="17"/>
        <v>46.459088078329948</v>
      </c>
      <c r="N152" s="1">
        <f t="shared" si="18"/>
        <v>0.57548145333841372</v>
      </c>
      <c r="O152" s="41"/>
    </row>
    <row r="153" spans="1:15" x14ac:dyDescent="0.25">
      <c r="A153" s="41" t="s">
        <v>381</v>
      </c>
      <c r="B153" s="1">
        <v>45.247533829149802</v>
      </c>
      <c r="C153">
        <v>151</v>
      </c>
      <c r="D153">
        <f t="shared" si="13"/>
        <v>22801</v>
      </c>
      <c r="E153" s="1">
        <v>47.038173416701248</v>
      </c>
      <c r="F153" s="1">
        <v>3.2063901325064137</v>
      </c>
      <c r="G153" s="1">
        <v>35.279206509947059</v>
      </c>
      <c r="H153" s="1">
        <v>59.757070464090781</v>
      </c>
      <c r="I153" s="1">
        <f t="shared" si="14"/>
        <v>-1.7906395875514463</v>
      </c>
      <c r="J153" s="1">
        <v>-1.057971269155332</v>
      </c>
      <c r="K153" s="1">
        <f t="shared" si="15"/>
        <v>-1.057971269155332</v>
      </c>
      <c r="L153" s="1">
        <f t="shared" si="16"/>
        <v>46.305505098305133</v>
      </c>
      <c r="M153" s="1">
        <f t="shared" si="17"/>
        <v>45.980202147545917</v>
      </c>
      <c r="N153" s="1">
        <f t="shared" si="18"/>
        <v>0.53680286478139116</v>
      </c>
      <c r="O153" s="41"/>
    </row>
    <row r="154" spans="1:15" x14ac:dyDescent="0.25">
      <c r="A154" s="41" t="s">
        <v>382</v>
      </c>
      <c r="B154" s="1">
        <v>46.377180986513103</v>
      </c>
      <c r="C154">
        <v>152</v>
      </c>
      <c r="D154">
        <f t="shared" si="13"/>
        <v>23104</v>
      </c>
      <c r="E154" s="1">
        <v>47.230945050408003</v>
      </c>
      <c r="F154" s="1">
        <v>0.72891307679833495</v>
      </c>
      <c r="G154" s="1">
        <v>49.974681875915756</v>
      </c>
      <c r="H154" s="1">
        <v>62.774584825660178</v>
      </c>
      <c r="I154" s="1">
        <f t="shared" si="14"/>
        <v>-0.8537640638949</v>
      </c>
      <c r="J154" s="1">
        <v>-1.3968802865950825</v>
      </c>
      <c r="K154" s="1">
        <f t="shared" si="15"/>
        <v>-1.3968802865950825</v>
      </c>
      <c r="L154" s="1">
        <f t="shared" si="16"/>
        <v>47.774061273108188</v>
      </c>
      <c r="M154" s="1">
        <f t="shared" si="17"/>
        <v>45.834064763812918</v>
      </c>
      <c r="N154" s="1">
        <f t="shared" si="18"/>
        <v>0.29497523136011683</v>
      </c>
      <c r="O154" s="41"/>
    </row>
    <row r="155" spans="1:15" x14ac:dyDescent="0.25">
      <c r="A155" s="41" t="s">
        <v>383</v>
      </c>
      <c r="B155" s="1">
        <v>53.202742485280297</v>
      </c>
      <c r="C155">
        <v>153</v>
      </c>
      <c r="D155">
        <f t="shared" si="13"/>
        <v>23409</v>
      </c>
      <c r="E155" s="1">
        <v>47.424989104139222</v>
      </c>
      <c r="F155" s="1">
        <v>33.38243413328712</v>
      </c>
      <c r="G155" s="1">
        <v>193.06654589553435</v>
      </c>
      <c r="H155" s="1">
        <v>65.887076057811825</v>
      </c>
      <c r="I155" s="1">
        <f t="shared" si="14"/>
        <v>5.7777533811410748</v>
      </c>
      <c r="J155" s="1">
        <v>0.26415847466672415</v>
      </c>
      <c r="K155" s="1">
        <f t="shared" si="15"/>
        <v>0.26415847466672415</v>
      </c>
      <c r="L155" s="1">
        <f t="shared" si="16"/>
        <v>52.938584010613575</v>
      </c>
      <c r="M155" s="1">
        <f t="shared" si="17"/>
        <v>47.689147578805944</v>
      </c>
      <c r="N155" s="1">
        <f t="shared" si="18"/>
        <v>30.399728792699928</v>
      </c>
      <c r="O155" s="41"/>
    </row>
    <row r="156" spans="1:15" x14ac:dyDescent="0.25">
      <c r="A156" s="41" t="s">
        <v>384</v>
      </c>
      <c r="B156" s="1">
        <v>57.646413429303799</v>
      </c>
      <c r="C156">
        <v>154</v>
      </c>
      <c r="D156">
        <f t="shared" si="13"/>
        <v>23716</v>
      </c>
      <c r="E156" s="1">
        <v>47.620305577894911</v>
      </c>
      <c r="F156" s="1">
        <v>100.52283864808295</v>
      </c>
      <c r="G156" s="1">
        <v>336.3009404466905</v>
      </c>
      <c r="H156" s="1">
        <v>69.096025593783409</v>
      </c>
      <c r="I156" s="1">
        <f t="shared" si="14"/>
        <v>10.026107851408888</v>
      </c>
      <c r="J156" s="1">
        <v>-9.9088507363074521E-2</v>
      </c>
      <c r="K156" s="1">
        <f t="shared" si="15"/>
        <v>-9.9088507363074521E-2</v>
      </c>
      <c r="L156" s="1">
        <f t="shared" si="16"/>
        <v>57.745501936666876</v>
      </c>
      <c r="M156" s="1">
        <f t="shared" si="17"/>
        <v>47.521217070531833</v>
      </c>
      <c r="N156" s="1">
        <f t="shared" si="18"/>
        <v>102.51960130368907</v>
      </c>
      <c r="O156" s="41"/>
    </row>
    <row r="157" spans="1:15" x14ac:dyDescent="0.25">
      <c r="A157" s="41" t="s">
        <v>385</v>
      </c>
      <c r="B157" s="1">
        <v>62.285951981857501</v>
      </c>
      <c r="C157">
        <v>155</v>
      </c>
      <c r="D157">
        <f t="shared" si="13"/>
        <v>24025</v>
      </c>
      <c r="E157" s="1">
        <v>47.816894471675056</v>
      </c>
      <c r="F157" s="1">
        <v>209.353625232967</v>
      </c>
      <c r="G157" s="1">
        <v>527.99070454108198</v>
      </c>
      <c r="H157" s="1">
        <v>72.402924581128588</v>
      </c>
      <c r="I157" s="1">
        <f t="shared" si="14"/>
        <v>14.469057510182445</v>
      </c>
      <c r="J157" s="1">
        <v>-1.2980983239688675</v>
      </c>
      <c r="K157" s="1">
        <f t="shared" si="15"/>
        <v>-1.2980983239688675</v>
      </c>
      <c r="L157" s="1">
        <f t="shared" si="16"/>
        <v>63.584050305826366</v>
      </c>
      <c r="M157" s="1">
        <f t="shared" si="17"/>
        <v>46.51879614770619</v>
      </c>
      <c r="N157" s="1">
        <f t="shared" si="18"/>
        <v>248.60320309841171</v>
      </c>
      <c r="O157" s="41"/>
    </row>
    <row r="158" spans="1:15" x14ac:dyDescent="0.25">
      <c r="A158" s="42" t="s">
        <v>386</v>
      </c>
      <c r="B158" s="43">
        <v>70.059704575973399</v>
      </c>
      <c r="C158" s="44">
        <v>156</v>
      </c>
      <c r="D158" s="44">
        <f t="shared" si="13"/>
        <v>24336</v>
      </c>
      <c r="E158" s="43">
        <v>48.014755785479679</v>
      </c>
      <c r="F158" s="43">
        <v>485.97976717549051</v>
      </c>
      <c r="G158" s="43">
        <v>945.67325938758086</v>
      </c>
      <c r="H158" s="43">
        <v>75.809273881717914</v>
      </c>
      <c r="I158" s="43">
        <f t="shared" si="14"/>
        <v>22.04494879049372</v>
      </c>
      <c r="J158" s="43">
        <v>-0.81543195478137964</v>
      </c>
      <c r="K158" s="43">
        <f t="shared" si="15"/>
        <v>-0.81543195478137964</v>
      </c>
      <c r="L158" s="43">
        <f t="shared" si="16"/>
        <v>70.875136530754773</v>
      </c>
      <c r="M158" s="43">
        <f t="shared" si="17"/>
        <v>47.199323830698297</v>
      </c>
      <c r="N158" s="43">
        <f t="shared" si="18"/>
        <v>522.59700781894458</v>
      </c>
      <c r="O158" s="41"/>
    </row>
    <row r="159" spans="1:15" x14ac:dyDescent="0.25">
      <c r="A159" s="38" t="s">
        <v>387</v>
      </c>
      <c r="B159" s="39">
        <v>80.363458455154102</v>
      </c>
      <c r="C159" s="40">
        <v>157</v>
      </c>
      <c r="D159" s="40">
        <f t="shared" si="13"/>
        <v>24649</v>
      </c>
      <c r="E159" s="39">
        <v>48.213889519308765</v>
      </c>
      <c r="F159" s="39">
        <v>1033.5947827606715</v>
      </c>
      <c r="G159" s="39">
        <v>1685.5585792868008</v>
      </c>
      <c r="H159" s="39">
        <v>79.316584071737665</v>
      </c>
      <c r="I159" s="39">
        <f t="shared" si="14"/>
        <v>32.149568935845338</v>
      </c>
      <c r="J159" s="1">
        <v>1.8112585460347563</v>
      </c>
      <c r="K159" s="1">
        <f t="shared" si="15"/>
        <v>1.8112585460347563</v>
      </c>
      <c r="L159" s="1">
        <f t="shared" si="16"/>
        <v>78.552199909119352</v>
      </c>
      <c r="M159" s="1">
        <f t="shared" si="17"/>
        <v>50.025148065343522</v>
      </c>
      <c r="N159" s="1">
        <f t="shared" si="18"/>
        <v>920.4130773084886</v>
      </c>
      <c r="O159" s="41"/>
    </row>
    <row r="160" spans="1:15" x14ac:dyDescent="0.25">
      <c r="A160" s="41" t="s">
        <v>388</v>
      </c>
      <c r="B160" s="1">
        <v>81.318200599111506</v>
      </c>
      <c r="C160">
        <v>158</v>
      </c>
      <c r="D160">
        <f t="shared" si="13"/>
        <v>24964</v>
      </c>
      <c r="E160" s="1">
        <v>48.414295673162322</v>
      </c>
      <c r="F160" s="1">
        <v>1082.6669593759029</v>
      </c>
      <c r="G160" s="1">
        <v>1764.865048655382</v>
      </c>
      <c r="H160" s="1">
        <v>82.926375441690809</v>
      </c>
      <c r="I160" s="1">
        <f t="shared" si="14"/>
        <v>32.903904925949185</v>
      </c>
      <c r="J160" s="1">
        <v>1.7118881857449326</v>
      </c>
      <c r="K160" s="1">
        <f t="shared" si="15"/>
        <v>1.7118881857449326</v>
      </c>
      <c r="L160" s="1">
        <f t="shared" si="16"/>
        <v>79.606312413366567</v>
      </c>
      <c r="M160" s="1">
        <f t="shared" si="17"/>
        <v>50.126183858907254</v>
      </c>
      <c r="N160" s="1">
        <f t="shared" si="18"/>
        <v>972.94190832118227</v>
      </c>
      <c r="O160" s="41"/>
    </row>
    <row r="161" spans="1:15" x14ac:dyDescent="0.25">
      <c r="A161" s="41" t="s">
        <v>389</v>
      </c>
      <c r="B161" s="1">
        <v>71.814275384774206</v>
      </c>
      <c r="C161">
        <v>159</v>
      </c>
      <c r="D161">
        <f t="shared" si="13"/>
        <v>25281</v>
      </c>
      <c r="E161" s="1">
        <v>48.615974247040342</v>
      </c>
      <c r="F161" s="1">
        <v>538.16117567698427</v>
      </c>
      <c r="G161" s="1">
        <v>1056.6642025103874</v>
      </c>
      <c r="H161" s="1">
        <v>86.640177996396332</v>
      </c>
      <c r="I161" s="1">
        <f t="shared" si="14"/>
        <v>23.198301137733864</v>
      </c>
      <c r="J161" s="1">
        <v>0.78712307023048333</v>
      </c>
      <c r="K161" s="1">
        <f t="shared" si="15"/>
        <v>0.78712307023048333</v>
      </c>
      <c r="L161" s="1">
        <f t="shared" si="16"/>
        <v>71.027152314543727</v>
      </c>
      <c r="M161" s="1">
        <f t="shared" si="17"/>
        <v>49.403097317270827</v>
      </c>
      <c r="N161" s="1">
        <f t="shared" si="18"/>
        <v>502.26090237334449</v>
      </c>
      <c r="O161" s="41"/>
    </row>
    <row r="162" spans="1:15" x14ac:dyDescent="0.25">
      <c r="A162" s="41" t="s">
        <v>390</v>
      </c>
      <c r="B162" s="1">
        <v>71.638853283375894</v>
      </c>
      <c r="C162">
        <v>160</v>
      </c>
      <c r="D162">
        <f t="shared" si="13"/>
        <v>25600</v>
      </c>
      <c r="E162" s="1">
        <v>48.818925240942832</v>
      </c>
      <c r="F162" s="1">
        <v>520.74911586182282</v>
      </c>
      <c r="G162" s="1">
        <v>1045.2903033515302</v>
      </c>
      <c r="H162" s="1">
        <v>90.459531454989815</v>
      </c>
      <c r="I162" s="1">
        <f t="shared" si="14"/>
        <v>22.819928042433062</v>
      </c>
      <c r="J162" s="1">
        <v>0.44727471415567188</v>
      </c>
      <c r="K162" s="1">
        <f t="shared" si="15"/>
        <v>0.44727471415567188</v>
      </c>
      <c r="L162" s="1">
        <f t="shared" si="16"/>
        <v>71.191578569220226</v>
      </c>
      <c r="M162" s="1">
        <f t="shared" si="17"/>
        <v>49.266199955098507</v>
      </c>
      <c r="N162" s="1">
        <f t="shared" si="18"/>
        <v>500.53561694728126</v>
      </c>
      <c r="O162" s="41"/>
    </row>
    <row r="163" spans="1:15" x14ac:dyDescent="0.25">
      <c r="A163" s="41" t="s">
        <v>391</v>
      </c>
      <c r="B163" s="1">
        <v>73.950190983683797</v>
      </c>
      <c r="C163">
        <v>161</v>
      </c>
      <c r="D163">
        <f t="shared" si="13"/>
        <v>25921</v>
      </c>
      <c r="E163" s="1">
        <v>49.023148654869786</v>
      </c>
      <c r="F163" s="1">
        <v>621.3574392624854</v>
      </c>
      <c r="G163" s="1">
        <v>1200.0880708047869</v>
      </c>
      <c r="H163" s="1">
        <v>94.3859852509229</v>
      </c>
      <c r="I163" s="1">
        <f t="shared" si="14"/>
        <v>24.927042328814011</v>
      </c>
      <c r="J163" s="1">
        <v>-5.3186412544197974E-2</v>
      </c>
      <c r="K163" s="1">
        <f t="shared" si="15"/>
        <v>-5.3186412544197974E-2</v>
      </c>
      <c r="L163" s="1">
        <f t="shared" si="16"/>
        <v>74.003377396227989</v>
      </c>
      <c r="M163" s="1">
        <f t="shared" si="17"/>
        <v>48.969962242325586</v>
      </c>
      <c r="N163" s="1">
        <f t="shared" si="18"/>
        <v>624.01182797057879</v>
      </c>
      <c r="O163" s="41"/>
    </row>
    <row r="164" spans="1:15" x14ac:dyDescent="0.25">
      <c r="A164" s="41" t="s">
        <v>392</v>
      </c>
      <c r="B164" s="1">
        <v>69.187228850325297</v>
      </c>
      <c r="C164">
        <v>162</v>
      </c>
      <c r="D164">
        <f t="shared" si="13"/>
        <v>26244</v>
      </c>
      <c r="E164" s="1">
        <v>49.228644488821203</v>
      </c>
      <c r="F164" s="1">
        <v>398.34508971527578</v>
      </c>
      <c r="G164" s="1">
        <v>892.77407364646263</v>
      </c>
      <c r="H164" s="1">
        <v>98.421098531963651</v>
      </c>
      <c r="I164" s="1">
        <f t="shared" si="14"/>
        <v>19.958584361504094</v>
      </c>
      <c r="J164" s="1">
        <v>-0.38758612468901388</v>
      </c>
      <c r="K164" s="1">
        <f t="shared" si="15"/>
        <v>-0.38758612468901388</v>
      </c>
      <c r="L164" s="1">
        <f t="shared" si="16"/>
        <v>69.574814975014306</v>
      </c>
      <c r="M164" s="1">
        <f t="shared" si="17"/>
        <v>48.841058364132188</v>
      </c>
      <c r="N164" s="1">
        <f t="shared" si="18"/>
        <v>413.96665345323555</v>
      </c>
      <c r="O164" s="41"/>
    </row>
    <row r="165" spans="1:15" x14ac:dyDescent="0.25">
      <c r="A165" s="41" t="s">
        <v>393</v>
      </c>
      <c r="B165" s="1">
        <v>68.251850891257007</v>
      </c>
      <c r="C165">
        <v>163</v>
      </c>
      <c r="D165">
        <f t="shared" si="13"/>
        <v>26569</v>
      </c>
      <c r="E165" s="1">
        <v>49.435412742797098</v>
      </c>
      <c r="F165" s="1">
        <v>354.05834459481736</v>
      </c>
      <c r="G165" s="1">
        <v>837.75208114876568</v>
      </c>
      <c r="H165" s="1">
        <v>102.56644016019673</v>
      </c>
      <c r="I165" s="1">
        <f t="shared" si="14"/>
        <v>18.816438148459909</v>
      </c>
      <c r="J165" s="1">
        <v>-1.057971269155332</v>
      </c>
      <c r="K165" s="1">
        <f t="shared" si="15"/>
        <v>-1.057971269155332</v>
      </c>
      <c r="L165" s="1">
        <f t="shared" si="16"/>
        <v>69.309822160412338</v>
      </c>
      <c r="M165" s="1">
        <f t="shared" si="17"/>
        <v>48.377441473641767</v>
      </c>
      <c r="N165" s="1">
        <f t="shared" si="18"/>
        <v>394.99214969899333</v>
      </c>
      <c r="O165" s="41"/>
    </row>
    <row r="166" spans="1:15" x14ac:dyDescent="0.25">
      <c r="A166" s="41" t="s">
        <v>394</v>
      </c>
      <c r="B166" s="1">
        <v>65.288503253795994</v>
      </c>
      <c r="C166">
        <v>164</v>
      </c>
      <c r="D166">
        <f t="shared" si="13"/>
        <v>26896</v>
      </c>
      <c r="E166" s="1">
        <v>49.643453416797449</v>
      </c>
      <c r="F166" s="1">
        <v>244.76758440216821</v>
      </c>
      <c r="G166" s="1">
        <v>674.99155509425236</v>
      </c>
      <c r="H166" s="1">
        <v>106.82358871202243</v>
      </c>
      <c r="I166" s="1">
        <f t="shared" si="14"/>
        <v>15.645049836998545</v>
      </c>
      <c r="J166" s="1">
        <v>-1.3968802865950825</v>
      </c>
      <c r="K166" s="1">
        <f t="shared" si="15"/>
        <v>-1.3968802865950825</v>
      </c>
      <c r="L166" s="1">
        <f t="shared" si="16"/>
        <v>66.685383540391072</v>
      </c>
      <c r="M166" s="1">
        <f t="shared" si="17"/>
        <v>48.246573130202364</v>
      </c>
      <c r="N166" s="1">
        <f t="shared" si="18"/>
        <v>290.42738233744802</v>
      </c>
      <c r="O166" s="41"/>
    </row>
    <row r="167" spans="1:15" x14ac:dyDescent="0.25">
      <c r="A167" s="41" t="s">
        <v>395</v>
      </c>
      <c r="B167" s="1">
        <v>64.630539200495704</v>
      </c>
      <c r="C167">
        <v>165</v>
      </c>
      <c r="D167">
        <f t="shared" si="13"/>
        <v>27225</v>
      </c>
      <c r="E167" s="1">
        <v>49.852766510822278</v>
      </c>
      <c r="F167" s="1">
        <v>218.38256566765779</v>
      </c>
      <c r="G167" s="1">
        <v>641.23587056190013</v>
      </c>
      <c r="H167" s="1">
        <v>111.19413247815817</v>
      </c>
      <c r="I167" s="1">
        <f t="shared" si="14"/>
        <v>14.777772689673426</v>
      </c>
      <c r="J167" s="1">
        <v>0.26415847466672415</v>
      </c>
      <c r="K167" s="1">
        <f t="shared" si="15"/>
        <v>0.26415847466672415</v>
      </c>
      <c r="L167" s="1">
        <f t="shared" si="16"/>
        <v>64.366380725828975</v>
      </c>
      <c r="M167" s="1">
        <f t="shared" si="17"/>
        <v>50.116924985489</v>
      </c>
      <c r="N167" s="1">
        <f t="shared" si="18"/>
        <v>210.64499758204468</v>
      </c>
      <c r="O167" s="41"/>
    </row>
    <row r="168" spans="1:15" x14ac:dyDescent="0.25">
      <c r="A168" s="41" t="s">
        <v>396</v>
      </c>
      <c r="B168" s="1">
        <v>66.511081769310394</v>
      </c>
      <c r="C168">
        <v>166</v>
      </c>
      <c r="D168">
        <f t="shared" si="13"/>
        <v>27556</v>
      </c>
      <c r="E168" s="1">
        <v>50.063352024871563</v>
      </c>
      <c r="F168" s="1">
        <v>270.52781374609788</v>
      </c>
      <c r="G168" s="1">
        <v>740.01289908048648</v>
      </c>
      <c r="H168" s="1">
        <v>115.67966946363684</v>
      </c>
      <c r="I168" s="1">
        <f t="shared" si="14"/>
        <v>16.447729744438831</v>
      </c>
      <c r="J168" s="1">
        <v>-9.9088507363074521E-2</v>
      </c>
      <c r="K168" s="1">
        <f t="shared" si="15"/>
        <v>-9.9088507363074521E-2</v>
      </c>
      <c r="L168" s="1">
        <f t="shared" si="16"/>
        <v>66.610170276673472</v>
      </c>
      <c r="M168" s="1">
        <f t="shared" si="17"/>
        <v>49.964263517508485</v>
      </c>
      <c r="N168" s="1">
        <f t="shared" si="18"/>
        <v>273.79719425816478</v>
      </c>
      <c r="O168" s="41"/>
    </row>
    <row r="169" spans="1:15" x14ac:dyDescent="0.25">
      <c r="A169" s="41" t="s">
        <v>397</v>
      </c>
      <c r="B169" s="1">
        <v>63.158777502324</v>
      </c>
      <c r="C169">
        <v>167</v>
      </c>
      <c r="D169">
        <f t="shared" si="13"/>
        <v>27889</v>
      </c>
      <c r="E169" s="1">
        <v>50.275209958945325</v>
      </c>
      <c r="F169" s="1">
        <v>165.98631264480042</v>
      </c>
      <c r="G169" s="1">
        <v>568.86418289658059</v>
      </c>
      <c r="H169" s="1">
        <v>120.28180738780853</v>
      </c>
      <c r="I169" s="1">
        <f t="shared" si="14"/>
        <v>12.883567543378675</v>
      </c>
      <c r="J169" s="1">
        <v>-1.2980983239688675</v>
      </c>
      <c r="K169" s="1">
        <f t="shared" si="15"/>
        <v>-1.2980983239688675</v>
      </c>
      <c r="L169" s="1">
        <f t="shared" si="16"/>
        <v>64.456875826292872</v>
      </c>
      <c r="M169" s="1">
        <f t="shared" si="17"/>
        <v>48.97711163497646</v>
      </c>
      <c r="N169" s="1">
        <f t="shared" si="18"/>
        <v>201.11964677309027</v>
      </c>
      <c r="O169" s="41"/>
    </row>
    <row r="170" spans="1:15" x14ac:dyDescent="0.25">
      <c r="A170" s="42" t="s">
        <v>398</v>
      </c>
      <c r="B170" s="43">
        <v>60.219976336028303</v>
      </c>
      <c r="C170" s="44">
        <v>168</v>
      </c>
      <c r="D170" s="44">
        <f t="shared" si="13"/>
        <v>28224</v>
      </c>
      <c r="E170" s="43">
        <v>50.488340313043544</v>
      </c>
      <c r="F170" s="43">
        <v>94.704739683854612</v>
      </c>
      <c r="G170" s="43">
        <v>437.31478347958898</v>
      </c>
      <c r="H170" s="43">
        <v>125.00216368433873</v>
      </c>
      <c r="I170" s="43">
        <f t="shared" si="14"/>
        <v>9.7316360229847589</v>
      </c>
      <c r="J170" s="43">
        <v>-0.81543195478137964</v>
      </c>
      <c r="K170" s="43">
        <f t="shared" si="15"/>
        <v>-0.81543195478137964</v>
      </c>
      <c r="L170" s="43">
        <f t="shared" si="16"/>
        <v>61.035408290809684</v>
      </c>
      <c r="M170" s="43">
        <f t="shared" si="17"/>
        <v>49.672908358262163</v>
      </c>
      <c r="N170" s="43">
        <f t="shared" si="18"/>
        <v>111.24064292761994</v>
      </c>
      <c r="O170" s="41"/>
    </row>
    <row r="171" spans="1:15" x14ac:dyDescent="0.25">
      <c r="A171" s="38" t="s">
        <v>399</v>
      </c>
      <c r="B171" s="39">
        <v>58.9595515420163</v>
      </c>
      <c r="C171" s="40">
        <v>169</v>
      </c>
      <c r="D171" s="40">
        <f t="shared" si="13"/>
        <v>28561</v>
      </c>
      <c r="E171" s="39">
        <v>50.70274308716624</v>
      </c>
      <c r="F171" s="39">
        <v>68.174885860083421</v>
      </c>
      <c r="G171" s="39">
        <v>386.18726435856405</v>
      </c>
      <c r="H171" s="39">
        <v>129.84236550121014</v>
      </c>
      <c r="I171" s="39">
        <f t="shared" si="14"/>
        <v>8.2568084548500593</v>
      </c>
      <c r="J171" s="1">
        <v>1.8112585460347563</v>
      </c>
      <c r="K171" s="1">
        <f t="shared" si="15"/>
        <v>1.8112585460347563</v>
      </c>
      <c r="L171" s="1">
        <f t="shared" si="16"/>
        <v>57.148292995981542</v>
      </c>
      <c r="M171" s="1">
        <f t="shared" si="17"/>
        <v>52.514001633200998</v>
      </c>
      <c r="N171" s="1">
        <f t="shared" si="18"/>
        <v>41.545113627028947</v>
      </c>
      <c r="O171" s="41"/>
    </row>
    <row r="172" spans="1:15" x14ac:dyDescent="0.25">
      <c r="A172" s="41" t="s">
        <v>400</v>
      </c>
      <c r="B172" s="1">
        <v>54.315509761388199</v>
      </c>
      <c r="C172">
        <v>170</v>
      </c>
      <c r="D172">
        <f t="shared" si="13"/>
        <v>28900</v>
      </c>
      <c r="E172" s="1">
        <v>50.918418281313393</v>
      </c>
      <c r="F172" s="1">
        <v>11.540230523996838</v>
      </c>
      <c r="G172" s="1">
        <v>225.22824080263609</v>
      </c>
      <c r="H172" s="1">
        <v>134.80404970072087</v>
      </c>
      <c r="I172" s="1">
        <f t="shared" si="14"/>
        <v>3.3970914800748062</v>
      </c>
      <c r="J172" s="1">
        <v>1.7118881857449326</v>
      </c>
      <c r="K172" s="1">
        <f t="shared" si="15"/>
        <v>1.7118881857449326</v>
      </c>
      <c r="L172" s="1">
        <f t="shared" si="16"/>
        <v>52.603621575643267</v>
      </c>
      <c r="M172" s="1">
        <f t="shared" si="17"/>
        <v>52.630306467058325</v>
      </c>
      <c r="N172" s="1">
        <f t="shared" si="18"/>
        <v>2.8399101432202594</v>
      </c>
      <c r="O172" s="41"/>
    </row>
    <row r="173" spans="1:15" x14ac:dyDescent="0.25">
      <c r="A173" s="41" t="s">
        <v>401</v>
      </c>
      <c r="B173" s="1">
        <v>51.834869848156103</v>
      </c>
      <c r="C173">
        <v>171</v>
      </c>
      <c r="D173">
        <f t="shared" si="13"/>
        <v>29241</v>
      </c>
      <c r="E173" s="1">
        <v>51.135365895485023</v>
      </c>
      <c r="F173" s="1">
        <v>0.48930577980246426</v>
      </c>
      <c r="G173" s="1">
        <v>156.92488180258991</v>
      </c>
      <c r="H173" s="1">
        <v>139.8888628594863</v>
      </c>
      <c r="I173" s="1">
        <f t="shared" si="14"/>
        <v>0.69950395267107979</v>
      </c>
      <c r="J173" s="1">
        <v>0.78712307023048333</v>
      </c>
      <c r="K173" s="1">
        <f t="shared" si="15"/>
        <v>0.78712307023048333</v>
      </c>
      <c r="L173" s="1">
        <f t="shared" si="16"/>
        <v>51.047746777925617</v>
      </c>
      <c r="M173" s="1">
        <f t="shared" si="17"/>
        <v>51.922488965715509</v>
      </c>
      <c r="N173" s="1">
        <f t="shared" si="18"/>
        <v>7.6771097618889873E-3</v>
      </c>
      <c r="O173" s="41"/>
    </row>
    <row r="174" spans="1:15" x14ac:dyDescent="0.25">
      <c r="A174" s="41" t="s">
        <v>402</v>
      </c>
      <c r="B174" s="1">
        <v>52.685133602839599</v>
      </c>
      <c r="C174">
        <v>172</v>
      </c>
      <c r="D174">
        <f t="shared" si="13"/>
        <v>29584</v>
      </c>
      <c r="E174" s="1">
        <v>51.35358592968111</v>
      </c>
      <c r="F174" s="1">
        <v>1.7730192058937875</v>
      </c>
      <c r="G174" s="1">
        <v>178.95028086178772</v>
      </c>
      <c r="H174" s="1">
        <v>145.09846126843712</v>
      </c>
      <c r="I174" s="1">
        <f t="shared" si="14"/>
        <v>1.3315476731584894</v>
      </c>
      <c r="J174" s="1">
        <v>0.44727471415567188</v>
      </c>
      <c r="K174" s="1">
        <f t="shared" si="15"/>
        <v>0.44727471415567188</v>
      </c>
      <c r="L174" s="1">
        <f t="shared" si="16"/>
        <v>52.237858888683924</v>
      </c>
      <c r="M174" s="1">
        <f t="shared" si="17"/>
        <v>51.800860643836785</v>
      </c>
      <c r="N174" s="1">
        <f t="shared" si="18"/>
        <v>0.78193866602359274</v>
      </c>
      <c r="O174" s="41"/>
    </row>
    <row r="175" spans="1:15" x14ac:dyDescent="0.25">
      <c r="A175" s="41" t="s">
        <v>403</v>
      </c>
      <c r="B175" s="1">
        <v>57.305573358311896</v>
      </c>
      <c r="C175">
        <v>173</v>
      </c>
      <c r="D175">
        <f t="shared" si="13"/>
        <v>29929</v>
      </c>
      <c r="E175" s="1">
        <v>51.573078383901674</v>
      </c>
      <c r="F175" s="1">
        <v>32.861498631638462</v>
      </c>
      <c r="G175" s="1">
        <v>323.91611445945847</v>
      </c>
      <c r="H175" s="1">
        <v>150.43451093282133</v>
      </c>
      <c r="I175" s="1">
        <f t="shared" si="14"/>
        <v>5.7324949744102227</v>
      </c>
      <c r="J175" s="1">
        <v>-5.3186412544197974E-2</v>
      </c>
      <c r="K175" s="1">
        <f t="shared" si="15"/>
        <v>-5.3186412544197974E-2</v>
      </c>
      <c r="L175" s="1">
        <f t="shared" si="16"/>
        <v>57.358759770856096</v>
      </c>
      <c r="M175" s="1">
        <f t="shared" si="17"/>
        <v>51.519891971357474</v>
      </c>
      <c r="N175" s="1">
        <f t="shared" si="18"/>
        <v>33.474109111350849</v>
      </c>
      <c r="O175" s="41"/>
    </row>
    <row r="176" spans="1:15" x14ac:dyDescent="0.25">
      <c r="A176" s="41" t="s">
        <v>404</v>
      </c>
      <c r="B176" s="1">
        <v>59.576528767689197</v>
      </c>
      <c r="C176">
        <v>174</v>
      </c>
      <c r="D176">
        <f t="shared" si="13"/>
        <v>30276</v>
      </c>
      <c r="E176" s="1">
        <v>51.793843258146694</v>
      </c>
      <c r="F176" s="1">
        <v>60.570193740442853</v>
      </c>
      <c r="G176" s="1">
        <v>410.81716363208375</v>
      </c>
      <c r="H176" s="1">
        <v>155.89868757220222</v>
      </c>
      <c r="I176" s="1">
        <f t="shared" si="14"/>
        <v>7.7826855095425032</v>
      </c>
      <c r="J176" s="1">
        <v>-0.38758612468901388</v>
      </c>
      <c r="K176" s="1">
        <f t="shared" si="15"/>
        <v>-0.38758612468901388</v>
      </c>
      <c r="L176" s="1">
        <f t="shared" si="16"/>
        <v>59.964114892378213</v>
      </c>
      <c r="M176" s="1">
        <f t="shared" si="17"/>
        <v>51.406257133457679</v>
      </c>
      <c r="N176" s="1">
        <f t="shared" si="18"/>
        <v>66.753338577128162</v>
      </c>
      <c r="O176" s="41"/>
    </row>
    <row r="177" spans="1:15" x14ac:dyDescent="0.25">
      <c r="A177" s="41" t="s">
        <v>405</v>
      </c>
      <c r="B177" s="1">
        <v>58.9472554937281</v>
      </c>
      <c r="C177">
        <v>175</v>
      </c>
      <c r="D177">
        <f t="shared" si="13"/>
        <v>30625</v>
      </c>
      <c r="E177" s="1">
        <v>52.015880552416192</v>
      </c>
      <c r="F177" s="1">
        <v>48.043958577046659</v>
      </c>
      <c r="G177" s="1">
        <v>385.70414032884281</v>
      </c>
      <c r="H177" s="1">
        <v>161.49267662046049</v>
      </c>
      <c r="I177" s="1">
        <f t="shared" si="14"/>
        <v>6.9313749413119083</v>
      </c>
      <c r="J177" s="1">
        <v>-1.057971269155332</v>
      </c>
      <c r="K177" s="1">
        <f t="shared" si="15"/>
        <v>-1.057971269155332</v>
      </c>
      <c r="L177" s="1">
        <f t="shared" si="16"/>
        <v>60.005226762883431</v>
      </c>
      <c r="M177" s="1">
        <f t="shared" si="17"/>
        <v>50.957909283260861</v>
      </c>
      <c r="N177" s="1">
        <f t="shared" si="18"/>
        <v>63.829652870707243</v>
      </c>
      <c r="O177" s="41"/>
    </row>
    <row r="178" spans="1:15" x14ac:dyDescent="0.25">
      <c r="A178" s="41" t="s">
        <v>406</v>
      </c>
      <c r="B178" s="1">
        <v>58.966661501910799</v>
      </c>
      <c r="C178">
        <v>176</v>
      </c>
      <c r="D178">
        <f t="shared" si="13"/>
        <v>30976</v>
      </c>
      <c r="E178" s="1">
        <v>52.239190266710153</v>
      </c>
      <c r="F178" s="1">
        <v>45.258869220452105</v>
      </c>
      <c r="G178" s="1">
        <v>386.46675976665421</v>
      </c>
      <c r="H178" s="1">
        <v>167.21817322579219</v>
      </c>
      <c r="I178" s="1">
        <f t="shared" si="14"/>
        <v>6.727471235200646</v>
      </c>
      <c r="J178" s="1">
        <v>-1.3968802865950825</v>
      </c>
      <c r="K178" s="1">
        <f t="shared" si="15"/>
        <v>-1.3968802865950825</v>
      </c>
      <c r="L178" s="1">
        <f t="shared" si="16"/>
        <v>60.363541788505884</v>
      </c>
      <c r="M178" s="1">
        <f t="shared" si="17"/>
        <v>50.842309980115068</v>
      </c>
      <c r="N178" s="1">
        <f t="shared" si="18"/>
        <v>66.005087649704606</v>
      </c>
      <c r="O178" s="41"/>
    </row>
    <row r="179" spans="1:15" x14ac:dyDescent="0.25">
      <c r="A179" s="41" t="s">
        <v>407</v>
      </c>
      <c r="B179" s="1">
        <v>62.875443699467397</v>
      </c>
      <c r="C179">
        <v>177</v>
      </c>
      <c r="D179">
        <f t="shared" si="13"/>
        <v>31329</v>
      </c>
      <c r="E179" s="1">
        <v>52.463772401028578</v>
      </c>
      <c r="F179" s="1">
        <v>108.40289922673468</v>
      </c>
      <c r="G179" s="1">
        <v>555.42894336775714</v>
      </c>
      <c r="H179" s="1">
        <v>173.0768822507101</v>
      </c>
      <c r="I179" s="1">
        <f t="shared" si="14"/>
        <v>10.411671298438819</v>
      </c>
      <c r="J179" s="1">
        <v>0.26415847466672415</v>
      </c>
      <c r="K179" s="1">
        <f t="shared" si="15"/>
        <v>0.26415847466672415</v>
      </c>
      <c r="L179" s="1">
        <f t="shared" si="16"/>
        <v>62.611285224800675</v>
      </c>
      <c r="M179" s="1">
        <f t="shared" si="17"/>
        <v>52.7279308756953</v>
      </c>
      <c r="N179" s="1">
        <f t="shared" si="18"/>
        <v>102.97201650861915</v>
      </c>
      <c r="O179" s="41"/>
    </row>
    <row r="180" spans="1:15" x14ac:dyDescent="0.25">
      <c r="A180" s="41" t="s">
        <v>408</v>
      </c>
      <c r="B180" s="1">
        <v>63.958773460341298</v>
      </c>
      <c r="C180">
        <v>178</v>
      </c>
      <c r="D180">
        <f t="shared" si="13"/>
        <v>31684</v>
      </c>
      <c r="E180" s="1">
        <v>52.689626955371466</v>
      </c>
      <c r="F180" s="1">
        <v>126.99366295047379</v>
      </c>
      <c r="G180" s="1">
        <v>607.6653817626111</v>
      </c>
      <c r="H180" s="1">
        <v>179.07051827204324</v>
      </c>
      <c r="I180" s="1">
        <f t="shared" si="14"/>
        <v>11.269146504969832</v>
      </c>
      <c r="J180" s="1">
        <v>-9.9088507363074521E-2</v>
      </c>
      <c r="K180" s="1">
        <f t="shared" si="15"/>
        <v>-9.9088507363074521E-2</v>
      </c>
      <c r="L180" s="1">
        <f t="shared" si="16"/>
        <v>64.057861967704369</v>
      </c>
      <c r="M180" s="1">
        <f t="shared" si="17"/>
        <v>52.590538448008388</v>
      </c>
      <c r="N180" s="1">
        <f t="shared" si="18"/>
        <v>129.23676729563184</v>
      </c>
      <c r="O180" s="41"/>
    </row>
    <row r="181" spans="1:15" x14ac:dyDescent="0.25">
      <c r="A181" s="41"/>
      <c r="L181" s="1"/>
      <c r="M181" s="1"/>
      <c r="N181" s="1"/>
      <c r="O181" s="41"/>
    </row>
    <row r="182" spans="1:15" x14ac:dyDescent="0.25">
      <c r="A182" s="42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1"/>
      <c r="N182" s="45"/>
    </row>
    <row r="183" spans="1:15" x14ac:dyDescent="0.25">
      <c r="M183" s="1"/>
    </row>
    <row r="184" spans="1:15" ht="18.75" x14ac:dyDescent="0.3">
      <c r="F184" s="47">
        <f>SUM(F3:F180)</f>
        <v>29564.100412576026</v>
      </c>
      <c r="G184" s="46" t="s">
        <v>513</v>
      </c>
      <c r="I184" s="34">
        <f>AVERAGE(I3:I180)</f>
        <v>1.7923240918892415E-14</v>
      </c>
      <c r="M184" s="1"/>
      <c r="N184" s="47">
        <f>SUM(N3:N180)</f>
        <v>29374.859756828009</v>
      </c>
    </row>
    <row r="185" spans="1:15" x14ac:dyDescent="0.25">
      <c r="M185" s="1"/>
    </row>
    <row r="186" spans="1:15" x14ac:dyDescent="0.25">
      <c r="A186" t="s">
        <v>0</v>
      </c>
      <c r="B186" t="s">
        <v>1</v>
      </c>
      <c r="C186" t="s">
        <v>2</v>
      </c>
      <c r="D186" t="s">
        <v>454</v>
      </c>
      <c r="E186" t="s">
        <v>514</v>
      </c>
      <c r="F186" t="s">
        <v>515</v>
      </c>
      <c r="G186" t="s">
        <v>516</v>
      </c>
      <c r="M186" s="1"/>
    </row>
    <row r="187" spans="1:15" x14ac:dyDescent="0.25">
      <c r="A187" t="s">
        <v>517</v>
      </c>
      <c r="C187">
        <v>179</v>
      </c>
      <c r="D187">
        <f>C187^2</f>
        <v>32041</v>
      </c>
      <c r="E187" s="1">
        <f>'Additf quadratique'!$Q$3*Prévisions!D187+'Additf quadratique'!$Q$5</f>
        <v>52.916753929738832</v>
      </c>
      <c r="F187" s="1">
        <v>-1.2980983239688675</v>
      </c>
      <c r="G187" s="1">
        <f>E187+F187</f>
        <v>51.618655605769966</v>
      </c>
      <c r="M187" s="1"/>
    </row>
    <row r="188" spans="1:15" x14ac:dyDescent="0.25">
      <c r="A188" t="s">
        <v>518</v>
      </c>
      <c r="C188">
        <v>180</v>
      </c>
      <c r="D188">
        <f t="shared" ref="D188:D200" si="19">C188^2</f>
        <v>32400</v>
      </c>
      <c r="E188" s="1">
        <f>'Additf quadratique'!$Q$3*Prévisions!D188+'Additf quadratique'!$Q$5</f>
        <v>53.145153324130661</v>
      </c>
      <c r="F188" s="1">
        <v>-0.81543195478137964</v>
      </c>
      <c r="G188" s="1">
        <f t="shared" ref="G188:G200" si="20">E188+F188</f>
        <v>52.329721369349279</v>
      </c>
      <c r="M188" s="1"/>
    </row>
    <row r="189" spans="1:15" x14ac:dyDescent="0.25">
      <c r="A189" t="s">
        <v>519</v>
      </c>
      <c r="C189">
        <v>181</v>
      </c>
      <c r="D189">
        <f t="shared" si="19"/>
        <v>32761</v>
      </c>
      <c r="E189" s="1">
        <f>'Additf quadratique'!$Q$3*Prévisions!D189+'Additf quadratique'!$Q$5</f>
        <v>53.374825138546953</v>
      </c>
      <c r="F189" s="1">
        <v>1.8112585460347563</v>
      </c>
      <c r="G189" s="1">
        <f t="shared" si="20"/>
        <v>55.18608368458171</v>
      </c>
      <c r="M189" s="1"/>
    </row>
    <row r="190" spans="1:15" x14ac:dyDescent="0.25">
      <c r="A190" t="s">
        <v>520</v>
      </c>
      <c r="C190">
        <v>182</v>
      </c>
      <c r="D190">
        <f t="shared" si="19"/>
        <v>33124</v>
      </c>
      <c r="E190" s="1">
        <f>'Additf quadratique'!$Q$3*Prévisions!D190+'Additf quadratique'!$Q$5</f>
        <v>53.605769372987716</v>
      </c>
      <c r="F190" s="1">
        <v>1.7118881857449326</v>
      </c>
      <c r="G190" s="1">
        <f t="shared" si="20"/>
        <v>55.317657558732648</v>
      </c>
      <c r="M190" s="1"/>
    </row>
    <row r="191" spans="1:15" x14ac:dyDescent="0.25">
      <c r="A191" t="s">
        <v>521</v>
      </c>
      <c r="C191">
        <v>183</v>
      </c>
      <c r="D191">
        <f t="shared" si="19"/>
        <v>33489</v>
      </c>
      <c r="E191" s="1">
        <f>'Additf quadratique'!$Q$3*Prévisions!D191+'Additf quadratique'!$Q$5</f>
        <v>53.837986027452942</v>
      </c>
      <c r="F191" s="1">
        <v>0.78712307023048333</v>
      </c>
      <c r="G191" s="1">
        <f t="shared" si="20"/>
        <v>54.625109097683428</v>
      </c>
      <c r="M191" s="1"/>
    </row>
    <row r="192" spans="1:15" x14ac:dyDescent="0.25">
      <c r="A192" t="s">
        <v>522</v>
      </c>
      <c r="C192">
        <v>184</v>
      </c>
      <c r="D192">
        <f t="shared" si="19"/>
        <v>33856</v>
      </c>
      <c r="E192" s="1">
        <f>'Additf quadratique'!$Q$3*Prévisions!D192+'Additf quadratique'!$Q$5</f>
        <v>54.071475101942639</v>
      </c>
      <c r="F192" s="1">
        <v>0.44727471415567188</v>
      </c>
      <c r="G192" s="1">
        <f t="shared" si="20"/>
        <v>54.518749816098314</v>
      </c>
      <c r="M192" s="1"/>
    </row>
    <row r="193" spans="1:13" x14ac:dyDescent="0.25">
      <c r="A193" s="41" t="s">
        <v>523</v>
      </c>
      <c r="C193">
        <v>185</v>
      </c>
      <c r="D193">
        <f t="shared" si="19"/>
        <v>34225</v>
      </c>
      <c r="E193" s="1">
        <f>'Additf quadratique'!$Q$3*Prévisions!D193+'Additf quadratique'!$Q$5</f>
        <v>54.306236596456806</v>
      </c>
      <c r="F193" s="1">
        <v>-5.3186412544197974E-2</v>
      </c>
      <c r="G193" s="1">
        <f t="shared" si="20"/>
        <v>54.253050183912606</v>
      </c>
      <c r="M193" s="1"/>
    </row>
    <row r="194" spans="1:13" x14ac:dyDescent="0.25">
      <c r="A194" s="41" t="s">
        <v>524</v>
      </c>
      <c r="C194">
        <v>186</v>
      </c>
      <c r="D194">
        <f t="shared" si="19"/>
        <v>34596</v>
      </c>
      <c r="E194" s="1">
        <f>'Additf quadratique'!$Q$3*Prévisions!D194+'Additf quadratique'!$Q$5</f>
        <v>54.542270510995436</v>
      </c>
      <c r="F194" s="1">
        <v>-0.38758612468901388</v>
      </c>
      <c r="G194" s="1">
        <f t="shared" si="20"/>
        <v>54.154684386306421</v>
      </c>
      <c r="M194" s="1"/>
    </row>
    <row r="195" spans="1:13" x14ac:dyDescent="0.25">
      <c r="A195" s="41" t="s">
        <v>525</v>
      </c>
      <c r="C195">
        <v>187</v>
      </c>
      <c r="D195">
        <f t="shared" si="19"/>
        <v>34969</v>
      </c>
      <c r="E195" s="1">
        <f>'Additf quadratique'!$Q$3*Prévisions!D195+'Additf quadratique'!$Q$5</f>
        <v>54.779576845558537</v>
      </c>
      <c r="F195" s="1">
        <v>-1.057971269155332</v>
      </c>
      <c r="G195" s="1">
        <f t="shared" si="20"/>
        <v>53.721605576403206</v>
      </c>
    </row>
    <row r="196" spans="1:13" x14ac:dyDescent="0.25">
      <c r="A196" s="41" t="s">
        <v>526</v>
      </c>
      <c r="C196">
        <v>188</v>
      </c>
      <c r="D196">
        <f t="shared" si="19"/>
        <v>35344</v>
      </c>
      <c r="E196" s="1">
        <f>'Additf quadratique'!$Q$3*Prévisions!D196+'Additf quadratique'!$Q$5</f>
        <v>55.018155600146102</v>
      </c>
      <c r="F196" s="1">
        <v>-1.3968802865950825</v>
      </c>
      <c r="G196" s="1">
        <f t="shared" si="20"/>
        <v>53.621275313551017</v>
      </c>
    </row>
    <row r="197" spans="1:13" x14ac:dyDescent="0.25">
      <c r="A197" s="41" t="s">
        <v>527</v>
      </c>
      <c r="C197">
        <v>189</v>
      </c>
      <c r="D197">
        <f t="shared" si="19"/>
        <v>35721</v>
      </c>
      <c r="E197" s="1">
        <f>'Additf quadratique'!$Q$3*Prévisions!D197+'Additf quadratique'!$Q$5</f>
        <v>55.25800677475813</v>
      </c>
      <c r="F197" s="1">
        <v>0.26415847466672415</v>
      </c>
      <c r="G197" s="1">
        <f t="shared" si="20"/>
        <v>55.522165249424852</v>
      </c>
    </row>
    <row r="198" spans="1:13" x14ac:dyDescent="0.25">
      <c r="A198" s="41" t="s">
        <v>528</v>
      </c>
      <c r="C198">
        <v>190</v>
      </c>
      <c r="D198">
        <f t="shared" si="19"/>
        <v>36100</v>
      </c>
      <c r="E198" s="1">
        <f>'Additf quadratique'!$Q$3*Prévisions!D198+'Additf quadratique'!$Q$5</f>
        <v>55.499130369394621</v>
      </c>
      <c r="F198" s="1">
        <v>-9.9088507363074521E-2</v>
      </c>
      <c r="G198" s="1">
        <f t="shared" si="20"/>
        <v>55.400041862031543</v>
      </c>
    </row>
    <row r="199" spans="1:13" x14ac:dyDescent="0.25">
      <c r="A199" t="s">
        <v>529</v>
      </c>
      <c r="C199">
        <v>191</v>
      </c>
      <c r="D199">
        <f t="shared" si="19"/>
        <v>36481</v>
      </c>
      <c r="E199" s="1">
        <f>'Additf quadratique'!$Q$3*Prévisions!D199+'Additf quadratique'!$Q$5</f>
        <v>55.741526384055589</v>
      </c>
      <c r="F199" s="1">
        <v>-1.2980983239688675</v>
      </c>
      <c r="G199" s="1">
        <f t="shared" si="20"/>
        <v>54.443428060086724</v>
      </c>
    </row>
    <row r="200" spans="1:13" x14ac:dyDescent="0.25">
      <c r="A200" t="s">
        <v>530</v>
      </c>
      <c r="C200">
        <v>192</v>
      </c>
      <c r="D200">
        <f t="shared" si="19"/>
        <v>36864</v>
      </c>
      <c r="E200" s="1">
        <f>'Additf quadratique'!$Q$3*Prévisions!D200+'Additf quadratique'!$Q$5</f>
        <v>55.985194818741022</v>
      </c>
      <c r="F200" s="1">
        <v>-0.81543195478137964</v>
      </c>
      <c r="G200" s="1">
        <f t="shared" si="20"/>
        <v>55.16976286395964</v>
      </c>
    </row>
    <row r="201" spans="1:13" x14ac:dyDescent="0.25">
      <c r="E201" s="1"/>
      <c r="F201" s="1"/>
      <c r="G201" s="1"/>
    </row>
    <row r="202" spans="1:13" x14ac:dyDescent="0.25">
      <c r="E202" s="1"/>
      <c r="F202" s="1"/>
      <c r="G202" s="1"/>
    </row>
    <row r="203" spans="1:13" x14ac:dyDescent="0.25">
      <c r="E203" s="1"/>
      <c r="F203" s="1"/>
      <c r="G203" s="1"/>
    </row>
    <row r="204" spans="1:13" x14ac:dyDescent="0.25">
      <c r="E204" s="1"/>
      <c r="F204" s="1"/>
      <c r="G204" s="1"/>
    </row>
    <row r="205" spans="1:13" x14ac:dyDescent="0.25">
      <c r="E205" s="1"/>
      <c r="F205" s="1"/>
      <c r="G205" s="1"/>
    </row>
    <row r="206" spans="1:13" x14ac:dyDescent="0.25">
      <c r="E206" s="1"/>
      <c r="F206" s="1"/>
      <c r="G206" s="1"/>
    </row>
    <row r="207" spans="1:13" x14ac:dyDescent="0.25">
      <c r="E207" s="1"/>
      <c r="F207" s="1"/>
      <c r="G207" s="1"/>
    </row>
    <row r="208" spans="1:13" x14ac:dyDescent="0.25">
      <c r="E208" s="1"/>
      <c r="F208" s="1"/>
      <c r="G208" s="1"/>
    </row>
    <row r="209" spans="5:7" x14ac:dyDescent="0.25">
      <c r="E209" s="1"/>
      <c r="F209" s="1"/>
      <c r="G209" s="1"/>
    </row>
    <row r="210" spans="5:7" x14ac:dyDescent="0.25">
      <c r="E210" s="1"/>
      <c r="F210" s="1"/>
      <c r="G210" s="1"/>
    </row>
    <row r="211" spans="5:7" x14ac:dyDescent="0.25">
      <c r="E211" s="1"/>
      <c r="F211" s="1"/>
      <c r="G211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39E1-05B2-4CBF-834D-D5B249054881}">
  <dimension ref="A2:F194"/>
  <sheetViews>
    <sheetView topLeftCell="A3" zoomScale="85" zoomScaleNormal="85" workbookViewId="0">
      <selection activeCell="T182" sqref="T182"/>
    </sheetView>
  </sheetViews>
  <sheetFormatPr baseColWidth="10" defaultRowHeight="15" x14ac:dyDescent="0.25"/>
  <cols>
    <col min="1" max="1" width="13.140625" bestFit="1" customWidth="1"/>
    <col min="2" max="2" width="5.42578125" bestFit="1" customWidth="1"/>
    <col min="3" max="3" width="3.85546875" bestFit="1" customWidth="1"/>
    <col min="4" max="5" width="12.42578125" bestFit="1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512</v>
      </c>
    </row>
    <row r="3" spans="1:5" x14ac:dyDescent="0.25">
      <c r="A3" t="s">
        <v>231</v>
      </c>
      <c r="B3" s="1">
        <v>63.875</v>
      </c>
      <c r="C3">
        <v>1</v>
      </c>
      <c r="D3" s="1">
        <v>34.343843683812082</v>
      </c>
      <c r="E3" s="1"/>
    </row>
    <row r="4" spans="1:5" x14ac:dyDescent="0.25">
      <c r="A4" t="s">
        <v>232</v>
      </c>
      <c r="B4" s="1">
        <v>65</v>
      </c>
      <c r="C4">
        <v>2</v>
      </c>
      <c r="D4" s="1">
        <v>34.246381953558981</v>
      </c>
      <c r="E4" s="1"/>
    </row>
    <row r="5" spans="1:5" x14ac:dyDescent="0.25">
      <c r="A5" t="s">
        <v>233</v>
      </c>
      <c r="B5" s="1">
        <v>63.5</v>
      </c>
      <c r="C5">
        <v>3</v>
      </c>
      <c r="D5" s="1">
        <v>33.324797888105699</v>
      </c>
      <c r="E5" s="1"/>
    </row>
    <row r="6" spans="1:5" x14ac:dyDescent="0.25">
      <c r="A6" t="s">
        <v>234</v>
      </c>
      <c r="B6" s="1">
        <v>57.821428571428598</v>
      </c>
      <c r="C6">
        <v>4</v>
      </c>
      <c r="D6" s="1">
        <v>32.989403002116525</v>
      </c>
      <c r="E6" s="1"/>
    </row>
    <row r="7" spans="1:5" x14ac:dyDescent="0.25">
      <c r="A7" t="s">
        <v>235</v>
      </c>
      <c r="B7" s="1">
        <v>56.0625</v>
      </c>
      <c r="C7">
        <v>5</v>
      </c>
      <c r="D7" s="1">
        <v>32.494667765526749</v>
      </c>
      <c r="E7" s="1"/>
    </row>
    <row r="8" spans="1:5" x14ac:dyDescent="0.25">
      <c r="A8" t="s">
        <v>236</v>
      </c>
      <c r="B8" s="1">
        <v>55.4</v>
      </c>
      <c r="C8">
        <v>6</v>
      </c>
      <c r="D8" s="1">
        <v>32.167266363516504</v>
      </c>
      <c r="E8" s="1"/>
    </row>
    <row r="9" spans="1:5" x14ac:dyDescent="0.25">
      <c r="A9" t="s">
        <v>237</v>
      </c>
      <c r="B9" s="1">
        <v>52.788888888888899</v>
      </c>
      <c r="C9">
        <v>7</v>
      </c>
      <c r="D9" s="1">
        <v>31.505151949209228</v>
      </c>
      <c r="E9" s="1"/>
    </row>
    <row r="10" spans="1:5" x14ac:dyDescent="0.25">
      <c r="A10" t="s">
        <v>238</v>
      </c>
      <c r="B10" s="1">
        <v>50.683333333333302</v>
      </c>
      <c r="C10">
        <v>8</v>
      </c>
      <c r="D10" s="1">
        <v>31.175786081952975</v>
      </c>
      <c r="E10" s="1"/>
    </row>
    <row r="11" spans="1:5" x14ac:dyDescent="0.25">
      <c r="A11" t="s">
        <v>239</v>
      </c>
      <c r="B11" s="1">
        <v>51.983333333333299</v>
      </c>
      <c r="C11">
        <v>9</v>
      </c>
      <c r="D11" s="1">
        <v>32.847640413422752</v>
      </c>
      <c r="E11" s="1"/>
    </row>
    <row r="12" spans="1:5" x14ac:dyDescent="0.25">
      <c r="A12" t="s">
        <v>240</v>
      </c>
      <c r="B12" s="1">
        <v>52.337499999999999</v>
      </c>
      <c r="C12">
        <v>10</v>
      </c>
      <c r="D12" s="1">
        <v>32.49648142162539</v>
      </c>
      <c r="E12" s="1"/>
    </row>
    <row r="13" spans="1:5" x14ac:dyDescent="0.25">
      <c r="A13" t="s">
        <v>241</v>
      </c>
      <c r="B13" s="1">
        <v>53.1944444444444</v>
      </c>
      <c r="C13">
        <v>11</v>
      </c>
      <c r="D13" s="1">
        <v>31.3108320152765</v>
      </c>
      <c r="E13" s="1"/>
    </row>
    <row r="14" spans="1:5" x14ac:dyDescent="0.25">
      <c r="A14" t="s">
        <v>242</v>
      </c>
      <c r="B14" s="1">
        <v>52.178571428571402</v>
      </c>
      <c r="C14">
        <v>12</v>
      </c>
      <c r="D14" s="1">
        <v>31.808131214745359</v>
      </c>
      <c r="E14" s="1"/>
    </row>
    <row r="15" spans="1:5" x14ac:dyDescent="0.25">
      <c r="A15" t="s">
        <v>243</v>
      </c>
      <c r="B15" s="1">
        <v>52.3125</v>
      </c>
      <c r="C15">
        <v>13</v>
      </c>
      <c r="D15" s="1">
        <v>34.450726965867332</v>
      </c>
      <c r="E15" s="1"/>
    </row>
    <row r="16" spans="1:5" x14ac:dyDescent="0.25">
      <c r="A16" t="s">
        <v>244</v>
      </c>
      <c r="B16" s="1">
        <v>52.0555555555556</v>
      </c>
      <c r="C16">
        <v>14</v>
      </c>
      <c r="D16" s="1">
        <v>34.368534275907813</v>
      </c>
      <c r="E16" s="1"/>
    </row>
    <row r="17" spans="1:5" x14ac:dyDescent="0.25">
      <c r="A17" t="s">
        <v>245</v>
      </c>
      <c r="B17" s="1">
        <v>51.288888888888899</v>
      </c>
      <c r="C17">
        <v>15</v>
      </c>
      <c r="D17" s="1">
        <v>33.462219250748142</v>
      </c>
      <c r="E17" s="1"/>
    </row>
    <row r="18" spans="1:5" x14ac:dyDescent="0.25">
      <c r="A18" t="s">
        <v>246</v>
      </c>
      <c r="B18" s="1">
        <v>51.3</v>
      </c>
      <c r="C18">
        <v>16</v>
      </c>
      <c r="D18" s="1">
        <v>33.14209340505257</v>
      </c>
      <c r="E18" s="1"/>
    </row>
    <row r="19" spans="1:5" x14ac:dyDescent="0.25">
      <c r="A19" t="s">
        <v>247</v>
      </c>
      <c r="B19" s="1">
        <v>51.8888888888889</v>
      </c>
      <c r="C19">
        <v>17</v>
      </c>
      <c r="D19" s="1">
        <v>32.662627208756398</v>
      </c>
      <c r="E19" s="1"/>
    </row>
    <row r="20" spans="1:5" x14ac:dyDescent="0.25">
      <c r="A20" t="s">
        <v>248</v>
      </c>
      <c r="B20" s="1">
        <v>50.8333333333333</v>
      </c>
      <c r="C20">
        <v>18</v>
      </c>
      <c r="D20" s="1">
        <v>32.350494847039755</v>
      </c>
      <c r="E20" s="1"/>
    </row>
    <row r="21" spans="1:5" x14ac:dyDescent="0.25">
      <c r="A21" t="s">
        <v>249</v>
      </c>
      <c r="B21" s="1">
        <v>50.355555555555597</v>
      </c>
      <c r="C21">
        <v>19</v>
      </c>
      <c r="D21" s="1">
        <v>31.703649473026076</v>
      </c>
      <c r="E21" s="1"/>
    </row>
    <row r="22" spans="1:5" x14ac:dyDescent="0.25">
      <c r="A22" t="s">
        <v>250</v>
      </c>
      <c r="B22" s="1">
        <v>49.25</v>
      </c>
      <c r="C22">
        <v>20</v>
      </c>
      <c r="D22" s="1">
        <v>31.389552646063432</v>
      </c>
      <c r="E22" s="1"/>
    </row>
    <row r="23" spans="1:5" x14ac:dyDescent="0.25">
      <c r="A23" t="s">
        <v>251</v>
      </c>
      <c r="B23" s="1">
        <v>47.725000000000001</v>
      </c>
      <c r="C23">
        <v>21</v>
      </c>
      <c r="D23" s="1">
        <v>33.076676017826813</v>
      </c>
      <c r="E23" s="1"/>
    </row>
    <row r="24" spans="1:5" x14ac:dyDescent="0.25">
      <c r="A24" t="s">
        <v>252</v>
      </c>
      <c r="B24" s="1">
        <v>44.6111111111111</v>
      </c>
      <c r="C24">
        <v>22</v>
      </c>
      <c r="D24" s="1">
        <v>32.740786066323054</v>
      </c>
      <c r="E24" s="1"/>
    </row>
    <row r="25" spans="1:5" x14ac:dyDescent="0.25">
      <c r="A25" t="s">
        <v>253</v>
      </c>
      <c r="B25" s="1">
        <v>41.5</v>
      </c>
      <c r="C25">
        <v>23</v>
      </c>
      <c r="D25" s="1">
        <v>31.570405700267766</v>
      </c>
      <c r="E25" s="1"/>
    </row>
    <row r="26" spans="1:5" x14ac:dyDescent="0.25">
      <c r="A26" t="s">
        <v>254</v>
      </c>
      <c r="B26" s="1">
        <v>43.6666666666667</v>
      </c>
      <c r="C26">
        <v>24</v>
      </c>
      <c r="D26" s="1">
        <v>32.082973940030229</v>
      </c>
      <c r="E26" s="1"/>
    </row>
    <row r="27" spans="1:5" x14ac:dyDescent="0.25">
      <c r="A27" t="s">
        <v>255</v>
      </c>
      <c r="B27" s="1">
        <v>42.75</v>
      </c>
      <c r="C27">
        <v>25</v>
      </c>
      <c r="D27" s="1">
        <v>34.740838731445812</v>
      </c>
      <c r="E27" s="1"/>
    </row>
    <row r="28" spans="1:5" x14ac:dyDescent="0.25">
      <c r="A28" t="s">
        <v>256</v>
      </c>
      <c r="B28" s="1">
        <v>43.40625</v>
      </c>
      <c r="C28">
        <v>26</v>
      </c>
      <c r="D28" s="1">
        <v>34.673915081779896</v>
      </c>
      <c r="E28" s="1"/>
    </row>
    <row r="29" spans="1:5" x14ac:dyDescent="0.25">
      <c r="A29" t="s">
        <v>257</v>
      </c>
      <c r="B29" s="1">
        <v>42.28125</v>
      </c>
      <c r="C29">
        <v>27</v>
      </c>
      <c r="D29" s="1">
        <v>33.782869096913828</v>
      </c>
      <c r="E29" s="1"/>
    </row>
    <row r="30" spans="1:5" x14ac:dyDescent="0.25">
      <c r="A30" t="s">
        <v>258</v>
      </c>
      <c r="B30" s="1">
        <v>41.412500000000001</v>
      </c>
      <c r="C30">
        <v>28</v>
      </c>
      <c r="D30" s="1">
        <v>33.47801229151186</v>
      </c>
      <c r="E30" s="1"/>
    </row>
    <row r="31" spans="1:5" x14ac:dyDescent="0.25">
      <c r="A31" t="s">
        <v>259</v>
      </c>
      <c r="B31" s="1">
        <v>40.604999999999997</v>
      </c>
      <c r="C31">
        <v>29</v>
      </c>
      <c r="D31" s="1">
        <v>33.01381513550929</v>
      </c>
      <c r="E31" s="1"/>
    </row>
    <row r="32" spans="1:5" x14ac:dyDescent="0.25">
      <c r="A32" t="s">
        <v>260</v>
      </c>
      <c r="B32" s="1">
        <v>39.9375</v>
      </c>
      <c r="C32">
        <v>30</v>
      </c>
      <c r="D32" s="1">
        <v>32.716951814086251</v>
      </c>
      <c r="E32" s="1"/>
    </row>
    <row r="33" spans="1:5" x14ac:dyDescent="0.25">
      <c r="A33" t="s">
        <v>261</v>
      </c>
      <c r="B33" s="1">
        <v>38.022222222222197</v>
      </c>
      <c r="C33">
        <v>31</v>
      </c>
      <c r="D33" s="1">
        <v>32.085375480366181</v>
      </c>
      <c r="E33" s="1"/>
    </row>
    <row r="34" spans="1:5" x14ac:dyDescent="0.25">
      <c r="A34" t="s">
        <v>262</v>
      </c>
      <c r="B34" s="1">
        <v>34.994162640901799</v>
      </c>
      <c r="C34">
        <v>32</v>
      </c>
      <c r="D34" s="1">
        <v>31.786547693697141</v>
      </c>
      <c r="E34" s="1"/>
    </row>
    <row r="35" spans="1:5" x14ac:dyDescent="0.25">
      <c r="A35" t="s">
        <v>263</v>
      </c>
      <c r="B35" s="1">
        <v>34.453286749482402</v>
      </c>
      <c r="C35">
        <v>33</v>
      </c>
      <c r="D35" s="1">
        <v>33.488940105754125</v>
      </c>
      <c r="E35" s="1"/>
    </row>
    <row r="36" spans="1:5" x14ac:dyDescent="0.25">
      <c r="A36" t="s">
        <v>264</v>
      </c>
      <c r="B36" s="1">
        <v>34.848495589161899</v>
      </c>
      <c r="C36">
        <v>34</v>
      </c>
      <c r="D36" s="1">
        <v>33.168319194543969</v>
      </c>
      <c r="E36" s="1"/>
    </row>
    <row r="37" spans="1:5" x14ac:dyDescent="0.25">
      <c r="A37" t="s">
        <v>265</v>
      </c>
      <c r="B37" s="1">
        <v>35.592003105590003</v>
      </c>
      <c r="C37">
        <v>35</v>
      </c>
      <c r="D37" s="1">
        <v>32.013207868782295</v>
      </c>
      <c r="E37" s="1"/>
    </row>
    <row r="38" spans="1:5" x14ac:dyDescent="0.25">
      <c r="A38" t="s">
        <v>266</v>
      </c>
      <c r="B38" s="1">
        <v>34.593297101449302</v>
      </c>
      <c r="C38">
        <v>36</v>
      </c>
      <c r="D38" s="1">
        <v>32.541045148838357</v>
      </c>
      <c r="E38" s="1"/>
    </row>
    <row r="39" spans="1:5" x14ac:dyDescent="0.25">
      <c r="A39" t="s">
        <v>267</v>
      </c>
      <c r="B39" s="1">
        <v>35.214988972904798</v>
      </c>
      <c r="C39">
        <v>37</v>
      </c>
      <c r="D39" s="1">
        <v>35.214178980547537</v>
      </c>
      <c r="E39" s="1"/>
    </row>
    <row r="40" spans="1:5" x14ac:dyDescent="0.25">
      <c r="A40" t="s">
        <v>268</v>
      </c>
      <c r="B40" s="1">
        <v>35.546739130434801</v>
      </c>
      <c r="C40">
        <v>38</v>
      </c>
      <c r="D40" s="1">
        <v>35.16252437117523</v>
      </c>
      <c r="E40" s="1"/>
    </row>
    <row r="41" spans="1:5" x14ac:dyDescent="0.25">
      <c r="A41" t="s">
        <v>269</v>
      </c>
      <c r="B41" s="1">
        <v>34.7028554175293</v>
      </c>
      <c r="C41">
        <v>39</v>
      </c>
      <c r="D41" s="1">
        <v>34.286747426602759</v>
      </c>
      <c r="E41" s="1"/>
    </row>
    <row r="42" spans="1:5" x14ac:dyDescent="0.25">
      <c r="A42" t="s">
        <v>270</v>
      </c>
      <c r="B42" s="1">
        <v>32.744565217391298</v>
      </c>
      <c r="C42">
        <v>40</v>
      </c>
      <c r="D42" s="1">
        <v>33.997159661494393</v>
      </c>
      <c r="E42" s="1"/>
    </row>
    <row r="43" spans="1:5" x14ac:dyDescent="0.25">
      <c r="A43" t="s">
        <v>271</v>
      </c>
      <c r="B43" s="1">
        <v>28.539855072463801</v>
      </c>
      <c r="C43">
        <v>41</v>
      </c>
      <c r="D43" s="1">
        <v>33.548231545785434</v>
      </c>
      <c r="E43" s="1"/>
    </row>
    <row r="44" spans="1:5" x14ac:dyDescent="0.25">
      <c r="A44" t="s">
        <v>272</v>
      </c>
      <c r="B44" s="1">
        <v>28.2254572118702</v>
      </c>
      <c r="C44">
        <v>42</v>
      </c>
      <c r="D44" s="1">
        <v>33.266637264655998</v>
      </c>
      <c r="E44" s="1"/>
    </row>
    <row r="45" spans="1:5" x14ac:dyDescent="0.25">
      <c r="A45" t="s">
        <v>273</v>
      </c>
      <c r="B45" s="1">
        <v>28.4002047889099</v>
      </c>
      <c r="C45">
        <v>43</v>
      </c>
      <c r="D45" s="1">
        <v>32.650329971229532</v>
      </c>
      <c r="E45" s="1"/>
    </row>
    <row r="46" spans="1:5" x14ac:dyDescent="0.25">
      <c r="A46" t="s">
        <v>274</v>
      </c>
      <c r="B46" s="1">
        <v>30.829321946169799</v>
      </c>
      <c r="C46">
        <v>44</v>
      </c>
      <c r="D46" s="1">
        <v>32.366771224854091</v>
      </c>
      <c r="E46" s="1"/>
    </row>
    <row r="47" spans="1:5" x14ac:dyDescent="0.25">
      <c r="A47" t="s">
        <v>275</v>
      </c>
      <c r="B47" s="1">
        <v>34.371829710144901</v>
      </c>
      <c r="C47">
        <v>45</v>
      </c>
      <c r="D47" s="1">
        <v>34.084432677204681</v>
      </c>
      <c r="E47" s="1"/>
    </row>
    <row r="48" spans="1:5" x14ac:dyDescent="0.25">
      <c r="A48" t="s">
        <v>276</v>
      </c>
      <c r="B48" s="1">
        <v>35.751732829237497</v>
      </c>
      <c r="C48">
        <v>46</v>
      </c>
      <c r="D48" s="1">
        <v>33.779080806288135</v>
      </c>
      <c r="E48" s="1"/>
    </row>
    <row r="49" spans="1:5" x14ac:dyDescent="0.25">
      <c r="A49" t="s">
        <v>277</v>
      </c>
      <c r="B49" s="1">
        <v>40.597373188405797</v>
      </c>
      <c r="C49">
        <v>47</v>
      </c>
      <c r="D49" s="1">
        <v>32.639238520820058</v>
      </c>
      <c r="E49" s="1"/>
    </row>
    <row r="50" spans="1:5" x14ac:dyDescent="0.25">
      <c r="A50" t="s">
        <v>278</v>
      </c>
      <c r="B50" s="1">
        <v>36.948251417769299</v>
      </c>
      <c r="C50">
        <v>48</v>
      </c>
      <c r="D50" s="1">
        <v>33.18234484116973</v>
      </c>
      <c r="E50" s="1"/>
    </row>
    <row r="51" spans="1:5" x14ac:dyDescent="0.25">
      <c r="A51" t="s">
        <v>279</v>
      </c>
      <c r="B51" s="1">
        <v>35.897727272727302</v>
      </c>
      <c r="C51">
        <v>49</v>
      </c>
      <c r="D51" s="1">
        <v>35.870747713172513</v>
      </c>
      <c r="E51" s="1"/>
    </row>
    <row r="52" spans="1:5" x14ac:dyDescent="0.25">
      <c r="A52" t="s">
        <v>280</v>
      </c>
      <c r="B52" s="1">
        <v>38.1875</v>
      </c>
      <c r="C52">
        <v>50</v>
      </c>
      <c r="D52" s="1">
        <v>35.834362144093809</v>
      </c>
      <c r="E52" s="1"/>
    </row>
    <row r="53" spans="1:5" x14ac:dyDescent="0.25">
      <c r="A53" t="s">
        <v>281</v>
      </c>
      <c r="B53" s="1">
        <v>39.318181818181799</v>
      </c>
      <c r="C53">
        <v>51</v>
      </c>
      <c r="D53" s="1">
        <v>34.973854239814948</v>
      </c>
      <c r="E53" s="1"/>
    </row>
    <row r="54" spans="1:5" x14ac:dyDescent="0.25">
      <c r="A54" t="s">
        <v>282</v>
      </c>
      <c r="B54" s="1">
        <v>38.840909090909101</v>
      </c>
      <c r="C54">
        <v>52</v>
      </c>
      <c r="D54" s="1">
        <v>34.699535515000186</v>
      </c>
      <c r="E54" s="1"/>
    </row>
    <row r="55" spans="1:5" x14ac:dyDescent="0.25">
      <c r="A55" t="s">
        <v>283</v>
      </c>
      <c r="B55" s="1">
        <v>35.690476190476197</v>
      </c>
      <c r="C55">
        <v>53</v>
      </c>
      <c r="D55" s="1">
        <v>34.265876439584829</v>
      </c>
      <c r="E55" s="1"/>
    </row>
    <row r="56" spans="1:5" x14ac:dyDescent="0.25">
      <c r="A56" t="s">
        <v>284</v>
      </c>
      <c r="B56" s="1">
        <v>36.045454545454497</v>
      </c>
      <c r="C56">
        <v>54</v>
      </c>
      <c r="D56" s="1">
        <v>33.999551198748996</v>
      </c>
      <c r="E56" s="1"/>
    </row>
    <row r="57" spans="1:5" x14ac:dyDescent="0.25">
      <c r="A57" t="s">
        <v>285</v>
      </c>
      <c r="B57" s="1">
        <v>36.2826086956522</v>
      </c>
      <c r="C57">
        <v>55</v>
      </c>
      <c r="D57" s="1">
        <v>33.398512945616133</v>
      </c>
      <c r="E57" s="1"/>
    </row>
    <row r="58" spans="1:5" x14ac:dyDescent="0.25">
      <c r="A58" t="s">
        <v>286</v>
      </c>
      <c r="B58" s="1">
        <v>36.095238095238102</v>
      </c>
      <c r="C58">
        <v>56</v>
      </c>
      <c r="D58" s="1">
        <v>33.130223239534303</v>
      </c>
      <c r="E58" s="1"/>
    </row>
    <row r="59" spans="1:5" x14ac:dyDescent="0.25">
      <c r="A59" t="s">
        <v>287</v>
      </c>
      <c r="B59" s="1">
        <v>37.056818181818201</v>
      </c>
      <c r="C59">
        <v>57</v>
      </c>
      <c r="D59" s="1">
        <v>34.863153732178496</v>
      </c>
      <c r="E59" s="1"/>
    </row>
    <row r="60" spans="1:5" x14ac:dyDescent="0.25">
      <c r="A60" t="s">
        <v>288</v>
      </c>
      <c r="B60" s="1">
        <v>37.238636363636402</v>
      </c>
      <c r="C60">
        <v>58</v>
      </c>
      <c r="D60" s="1">
        <v>34.573070901555546</v>
      </c>
      <c r="E60" s="1"/>
    </row>
    <row r="61" spans="1:5" x14ac:dyDescent="0.25">
      <c r="A61" t="s">
        <v>289</v>
      </c>
      <c r="B61" s="1">
        <v>35.964285714285701</v>
      </c>
      <c r="C61">
        <v>59</v>
      </c>
      <c r="D61" s="1">
        <v>33.448497656381079</v>
      </c>
      <c r="E61" s="1"/>
    </row>
    <row r="62" spans="1:5" x14ac:dyDescent="0.25">
      <c r="A62" t="s">
        <v>290</v>
      </c>
      <c r="B62" s="1">
        <v>35.163043478260903</v>
      </c>
      <c r="C62">
        <v>60</v>
      </c>
      <c r="D62" s="1">
        <v>34.006873017024347</v>
      </c>
      <c r="E62" s="1"/>
    </row>
    <row r="63" spans="1:5" x14ac:dyDescent="0.25">
      <c r="A63" t="s">
        <v>291</v>
      </c>
      <c r="B63" s="1">
        <v>34.690476190476197</v>
      </c>
      <c r="C63">
        <v>61</v>
      </c>
      <c r="D63" s="1">
        <v>36.71054492932074</v>
      </c>
      <c r="E63" s="1"/>
    </row>
    <row r="64" spans="1:5" x14ac:dyDescent="0.25">
      <c r="A64" t="s">
        <v>292</v>
      </c>
      <c r="B64" s="1">
        <v>34.007142857142902</v>
      </c>
      <c r="C64">
        <v>62</v>
      </c>
      <c r="D64" s="1">
        <v>36.68942840053564</v>
      </c>
      <c r="E64" s="1"/>
    </row>
    <row r="65" spans="1:5" x14ac:dyDescent="0.25">
      <c r="A65" t="s">
        <v>293</v>
      </c>
      <c r="B65" s="1">
        <v>30.1065217391304</v>
      </c>
      <c r="C65">
        <v>63</v>
      </c>
      <c r="D65" s="1">
        <v>35.844189536550381</v>
      </c>
      <c r="E65" s="1"/>
    </row>
    <row r="66" spans="1:5" x14ac:dyDescent="0.25">
      <c r="A66" t="s">
        <v>294</v>
      </c>
      <c r="B66" s="1">
        <v>27.816666666666698</v>
      </c>
      <c r="C66">
        <v>64</v>
      </c>
      <c r="D66" s="1">
        <v>35.585139852029222</v>
      </c>
      <c r="E66" s="1"/>
    </row>
    <row r="67" spans="1:5" x14ac:dyDescent="0.25">
      <c r="A67" t="s">
        <v>295</v>
      </c>
      <c r="B67" s="1">
        <v>27.954545454545499</v>
      </c>
      <c r="C67">
        <v>65</v>
      </c>
      <c r="D67" s="1">
        <v>35.166749816907469</v>
      </c>
      <c r="E67" s="1"/>
    </row>
    <row r="68" spans="1:5" x14ac:dyDescent="0.25">
      <c r="A68" t="s">
        <v>296</v>
      </c>
      <c r="B68" s="1">
        <v>27.352272727272702</v>
      </c>
      <c r="C68">
        <v>66</v>
      </c>
      <c r="D68" s="1">
        <v>34.915693616365246</v>
      </c>
      <c r="E68" s="1"/>
    </row>
    <row r="69" spans="1:5" x14ac:dyDescent="0.25">
      <c r="A69" t="s">
        <v>297</v>
      </c>
      <c r="B69" s="1">
        <v>25.845238095238098</v>
      </c>
      <c r="C69">
        <v>67</v>
      </c>
      <c r="D69" s="1">
        <v>34.329924403525986</v>
      </c>
      <c r="E69" s="1"/>
    </row>
    <row r="70" spans="1:5" x14ac:dyDescent="0.25">
      <c r="A70" t="s">
        <v>298</v>
      </c>
      <c r="B70" s="1">
        <v>25.902173913043502</v>
      </c>
      <c r="C70">
        <v>68</v>
      </c>
      <c r="D70" s="1">
        <v>34.076903737737751</v>
      </c>
      <c r="E70" s="1"/>
    </row>
    <row r="71" spans="1:5" x14ac:dyDescent="0.25">
      <c r="A71" t="s">
        <v>299</v>
      </c>
      <c r="B71" s="1">
        <v>24.875</v>
      </c>
      <c r="C71">
        <v>69</v>
      </c>
      <c r="D71" s="1">
        <v>35.825103270675548</v>
      </c>
      <c r="E71" s="1"/>
    </row>
    <row r="72" spans="1:5" x14ac:dyDescent="0.25">
      <c r="A72" t="s">
        <v>300</v>
      </c>
      <c r="B72" s="1">
        <v>21.488095238095202</v>
      </c>
      <c r="C72">
        <v>70</v>
      </c>
      <c r="D72" s="1">
        <v>35.550289480346208</v>
      </c>
      <c r="E72" s="1"/>
    </row>
    <row r="73" spans="1:5" x14ac:dyDescent="0.25">
      <c r="A73" t="s">
        <v>301</v>
      </c>
      <c r="B73" s="1">
        <v>18.568181818181799</v>
      </c>
      <c r="C73">
        <v>71</v>
      </c>
      <c r="D73" s="1">
        <v>34.440985275465344</v>
      </c>
      <c r="E73" s="1"/>
    </row>
    <row r="74" spans="1:5" x14ac:dyDescent="0.25">
      <c r="A74" t="s">
        <v>302</v>
      </c>
      <c r="B74" s="1">
        <v>19.215909090909101</v>
      </c>
      <c r="C74">
        <v>72</v>
      </c>
      <c r="D74" s="1">
        <v>35.014629676402222</v>
      </c>
      <c r="E74" s="1"/>
    </row>
    <row r="75" spans="1:5" x14ac:dyDescent="0.25">
      <c r="A75" t="s">
        <v>303</v>
      </c>
      <c r="B75" s="1">
        <v>22.170454545454501</v>
      </c>
      <c r="C75">
        <v>73</v>
      </c>
      <c r="D75" s="1">
        <v>37.733570628992219</v>
      </c>
      <c r="E75" s="1"/>
    </row>
    <row r="76" spans="1:5" x14ac:dyDescent="0.25">
      <c r="A76" t="s">
        <v>304</v>
      </c>
      <c r="B76" s="1">
        <v>25.15</v>
      </c>
      <c r="C76">
        <v>74</v>
      </c>
      <c r="D76" s="1">
        <v>37.727723140500714</v>
      </c>
      <c r="E76" s="1"/>
    </row>
    <row r="77" spans="1:5" x14ac:dyDescent="0.25">
      <c r="A77" t="s">
        <v>305</v>
      </c>
      <c r="B77" s="1">
        <v>24.6413043478261</v>
      </c>
      <c r="C77">
        <v>75</v>
      </c>
      <c r="D77" s="1">
        <v>36.897753316809066</v>
      </c>
      <c r="E77" s="1"/>
    </row>
    <row r="78" spans="1:5" x14ac:dyDescent="0.25">
      <c r="A78" t="s">
        <v>306</v>
      </c>
      <c r="B78" s="1">
        <v>23.25</v>
      </c>
      <c r="C78">
        <v>76</v>
      </c>
      <c r="D78" s="1">
        <v>36.65397267258151</v>
      </c>
      <c r="E78" s="1"/>
    </row>
    <row r="79" spans="1:5" x14ac:dyDescent="0.25">
      <c r="A79" t="s">
        <v>307</v>
      </c>
      <c r="B79" s="1">
        <v>21.6413043478261</v>
      </c>
      <c r="C79">
        <v>77</v>
      </c>
      <c r="D79" s="1">
        <v>36.25085167775336</v>
      </c>
      <c r="E79" s="1"/>
    </row>
    <row r="80" spans="1:5" x14ac:dyDescent="0.25">
      <c r="A80" t="s">
        <v>308</v>
      </c>
      <c r="B80" s="1">
        <v>19.75</v>
      </c>
      <c r="C80">
        <v>78</v>
      </c>
      <c r="D80" s="1">
        <v>36.01506451750474</v>
      </c>
      <c r="E80" s="1"/>
    </row>
    <row r="81" spans="1:5" x14ac:dyDescent="0.25">
      <c r="A81" t="s">
        <v>309</v>
      </c>
      <c r="B81" s="1">
        <v>20.3642857142857</v>
      </c>
      <c r="C81">
        <v>79</v>
      </c>
      <c r="D81" s="1">
        <v>35.444564344959083</v>
      </c>
      <c r="E81" s="1"/>
    </row>
    <row r="82" spans="1:5" x14ac:dyDescent="0.25">
      <c r="A82" t="s">
        <v>310</v>
      </c>
      <c r="B82" s="1">
        <v>20.406521739130401</v>
      </c>
      <c r="C82">
        <v>80</v>
      </c>
      <c r="D82" s="1">
        <v>35.206812719464459</v>
      </c>
      <c r="E82" s="1"/>
    </row>
    <row r="83" spans="1:5" x14ac:dyDescent="0.25">
      <c r="A83" t="s">
        <v>311</v>
      </c>
      <c r="B83" s="1">
        <v>20.428571428571399</v>
      </c>
      <c r="C83">
        <v>81</v>
      </c>
      <c r="D83" s="1">
        <v>36.970281292695859</v>
      </c>
      <c r="E83" s="1"/>
    </row>
    <row r="84" spans="1:5" x14ac:dyDescent="0.25">
      <c r="A84" t="s">
        <v>312</v>
      </c>
      <c r="B84" s="1">
        <v>20.234090909090899</v>
      </c>
      <c r="C84">
        <v>82</v>
      </c>
      <c r="D84" s="1">
        <v>36.710736542660122</v>
      </c>
      <c r="E84" s="1"/>
    </row>
    <row r="85" spans="1:5" x14ac:dyDescent="0.25">
      <c r="A85" t="s">
        <v>313</v>
      </c>
      <c r="B85" s="1">
        <v>22.345454545454501</v>
      </c>
      <c r="C85">
        <v>83</v>
      </c>
      <c r="D85" s="1">
        <v>35.616701378072861</v>
      </c>
      <c r="E85" s="1"/>
    </row>
    <row r="86" spans="1:5" x14ac:dyDescent="0.25">
      <c r="A86" t="s">
        <v>314</v>
      </c>
      <c r="B86" s="1">
        <v>24.6904761904762</v>
      </c>
      <c r="C86">
        <v>84</v>
      </c>
      <c r="D86" s="1">
        <v>36.205614819303342</v>
      </c>
      <c r="E86" s="1"/>
    </row>
    <row r="87" spans="1:5" x14ac:dyDescent="0.25">
      <c r="A87" t="s">
        <v>315</v>
      </c>
      <c r="B87" s="1">
        <v>23.369565217391301</v>
      </c>
      <c r="C87">
        <v>85</v>
      </c>
      <c r="D87" s="1">
        <v>38.939824812186941</v>
      </c>
      <c r="E87" s="1"/>
    </row>
    <row r="88" spans="1:5" x14ac:dyDescent="0.25">
      <c r="A88" t="s">
        <v>316</v>
      </c>
      <c r="B88" s="1">
        <v>21.762499999999999</v>
      </c>
      <c r="C88">
        <v>86</v>
      </c>
      <c r="D88" s="1">
        <v>38.949246363989047</v>
      </c>
      <c r="E88" s="1"/>
    </row>
    <row r="89" spans="1:5" x14ac:dyDescent="0.25">
      <c r="A89" t="s">
        <v>317</v>
      </c>
      <c r="B89" s="1">
        <v>21.727272727272702</v>
      </c>
      <c r="C89">
        <v>87</v>
      </c>
      <c r="D89" s="1">
        <v>38.134545580590995</v>
      </c>
      <c r="E89" s="1"/>
    </row>
    <row r="90" spans="1:5" x14ac:dyDescent="0.25">
      <c r="A90" t="s">
        <v>318</v>
      </c>
      <c r="B90" s="1">
        <v>20.845238095238098</v>
      </c>
      <c r="C90">
        <v>88</v>
      </c>
      <c r="D90" s="1">
        <v>37.906033976657049</v>
      </c>
      <c r="E90" s="1"/>
    </row>
    <row r="91" spans="1:5" x14ac:dyDescent="0.25">
      <c r="A91" t="s">
        <v>319</v>
      </c>
      <c r="B91" s="1">
        <v>21.978260869565201</v>
      </c>
      <c r="C91">
        <v>89</v>
      </c>
      <c r="D91" s="1">
        <v>37.518182022122502</v>
      </c>
      <c r="E91" s="1"/>
    </row>
    <row r="92" spans="1:5" x14ac:dyDescent="0.25">
      <c r="A92" t="s">
        <v>320</v>
      </c>
      <c r="B92" s="1">
        <v>23.071428571428601</v>
      </c>
      <c r="C92">
        <v>90</v>
      </c>
      <c r="D92" s="1">
        <v>37.297663902167486</v>
      </c>
      <c r="E92" s="1"/>
    </row>
    <row r="93" spans="1:5" x14ac:dyDescent="0.25">
      <c r="A93" t="s">
        <v>321</v>
      </c>
      <c r="B93" s="1">
        <v>23.4159090909091</v>
      </c>
      <c r="C93">
        <v>91</v>
      </c>
      <c r="D93" s="1">
        <v>36.742432769915432</v>
      </c>
      <c r="E93" s="1"/>
    </row>
    <row r="94" spans="1:5" x14ac:dyDescent="0.25">
      <c r="A94" t="s">
        <v>322</v>
      </c>
      <c r="B94" s="1">
        <v>26.047826086956501</v>
      </c>
      <c r="C94">
        <v>92</v>
      </c>
      <c r="D94" s="1">
        <v>36.519950184714411</v>
      </c>
      <c r="E94" s="1"/>
    </row>
    <row r="95" spans="1:5" x14ac:dyDescent="0.25">
      <c r="A95" t="s">
        <v>323</v>
      </c>
      <c r="B95" s="1">
        <v>27.107500000000002</v>
      </c>
      <c r="C95">
        <v>93</v>
      </c>
      <c r="D95" s="1">
        <v>38.29868779823942</v>
      </c>
      <c r="E95" s="1"/>
    </row>
    <row r="96" spans="1:5" x14ac:dyDescent="0.25">
      <c r="A96" t="s">
        <v>324</v>
      </c>
      <c r="B96" s="1">
        <v>27.508695652173898</v>
      </c>
      <c r="C96">
        <v>94</v>
      </c>
      <c r="D96" s="1">
        <v>38.05441208849728</v>
      </c>
      <c r="E96" s="1"/>
    </row>
    <row r="97" spans="1:5" x14ac:dyDescent="0.25">
      <c r="A97" t="s">
        <v>325</v>
      </c>
      <c r="B97" s="1">
        <v>28.934090909090902</v>
      </c>
      <c r="C97">
        <v>95</v>
      </c>
      <c r="D97" s="1">
        <v>36.975645964203629</v>
      </c>
      <c r="E97" s="1"/>
    </row>
    <row r="98" spans="1:5" x14ac:dyDescent="0.25">
      <c r="A98" t="s">
        <v>326</v>
      </c>
      <c r="B98" s="1">
        <v>28.761904761904798</v>
      </c>
      <c r="C98">
        <v>96</v>
      </c>
      <c r="D98" s="1">
        <v>37.579828445727706</v>
      </c>
      <c r="E98" s="1"/>
    </row>
    <row r="99" spans="1:5" x14ac:dyDescent="0.25">
      <c r="A99" t="s">
        <v>327</v>
      </c>
      <c r="B99" s="1">
        <v>28.710869565217401</v>
      </c>
      <c r="C99">
        <v>97</v>
      </c>
      <c r="D99" s="1">
        <v>40.329307478904916</v>
      </c>
      <c r="E99" s="1"/>
    </row>
    <row r="100" spans="1:5" x14ac:dyDescent="0.25">
      <c r="A100" t="s">
        <v>328</v>
      </c>
      <c r="B100" s="1">
        <v>28.645</v>
      </c>
      <c r="C100">
        <v>98</v>
      </c>
      <c r="D100" s="1">
        <v>40.353998071000625</v>
      </c>
      <c r="E100" s="1"/>
    </row>
    <row r="101" spans="1:5" x14ac:dyDescent="0.25">
      <c r="A101" t="s">
        <v>329</v>
      </c>
      <c r="B101" s="1">
        <v>27.202380952380999</v>
      </c>
      <c r="C101">
        <v>99</v>
      </c>
      <c r="D101" s="1">
        <v>39.554566327896175</v>
      </c>
      <c r="E101" s="1"/>
    </row>
    <row r="102" spans="1:5" x14ac:dyDescent="0.25">
      <c r="A102" t="s">
        <v>330</v>
      </c>
      <c r="B102" s="1">
        <v>25.704545454545499</v>
      </c>
      <c r="C102">
        <v>100</v>
      </c>
      <c r="D102" s="1">
        <v>39.341323764255833</v>
      </c>
      <c r="E102" s="1"/>
    </row>
    <row r="103" spans="1:5" x14ac:dyDescent="0.25">
      <c r="A103" t="s">
        <v>331</v>
      </c>
      <c r="B103" s="1">
        <v>24.684782608695599</v>
      </c>
      <c r="C103">
        <v>101</v>
      </c>
      <c r="D103" s="1">
        <v>38.968740850014896</v>
      </c>
      <c r="E103" s="1"/>
    </row>
    <row r="104" spans="1:5" x14ac:dyDescent="0.25">
      <c r="A104" t="s">
        <v>332</v>
      </c>
      <c r="B104" s="1">
        <v>24.475000000000001</v>
      </c>
      <c r="C104">
        <v>102</v>
      </c>
      <c r="D104" s="1">
        <v>38.763491770353482</v>
      </c>
      <c r="E104" s="1"/>
    </row>
    <row r="105" spans="1:5" x14ac:dyDescent="0.25">
      <c r="A105" t="s">
        <v>333</v>
      </c>
      <c r="B105" s="1">
        <v>25.228260869565201</v>
      </c>
      <c r="C105">
        <v>103</v>
      </c>
      <c r="D105" s="1">
        <v>38.223529678395032</v>
      </c>
      <c r="E105" s="1"/>
    </row>
    <row r="106" spans="1:5" x14ac:dyDescent="0.25">
      <c r="A106" t="s">
        <v>334</v>
      </c>
      <c r="B106" s="1">
        <v>25.284090909090899</v>
      </c>
      <c r="C106">
        <v>104</v>
      </c>
      <c r="D106" s="1">
        <v>38.016316133487614</v>
      </c>
      <c r="E106" s="1"/>
    </row>
    <row r="107" spans="1:5" x14ac:dyDescent="0.25">
      <c r="A107" t="s">
        <v>335</v>
      </c>
      <c r="B107" s="1">
        <v>25.4119047619048</v>
      </c>
      <c r="C107">
        <v>105</v>
      </c>
      <c r="D107" s="1">
        <v>39.810322787306227</v>
      </c>
      <c r="E107" s="1"/>
    </row>
    <row r="108" spans="1:5" x14ac:dyDescent="0.25">
      <c r="A108" t="s">
        <v>336</v>
      </c>
      <c r="B108" s="1">
        <v>24.917391304347799</v>
      </c>
      <c r="C108">
        <v>106</v>
      </c>
      <c r="D108" s="1">
        <v>39.581316117857696</v>
      </c>
      <c r="E108" s="1"/>
    </row>
    <row r="109" spans="1:5" x14ac:dyDescent="0.25">
      <c r="A109" t="s">
        <v>337</v>
      </c>
      <c r="B109" s="1">
        <v>24.988095238095202</v>
      </c>
      <c r="C109">
        <v>107</v>
      </c>
      <c r="D109" s="1">
        <v>38.517819033857641</v>
      </c>
      <c r="E109" s="1"/>
    </row>
    <row r="110" spans="1:5" x14ac:dyDescent="0.25">
      <c r="A110" t="s">
        <v>338</v>
      </c>
      <c r="B110" s="1">
        <v>25.625</v>
      </c>
      <c r="C110">
        <v>108</v>
      </c>
      <c r="D110" s="1">
        <v>39.137270555675329</v>
      </c>
      <c r="E110" s="1"/>
    </row>
    <row r="111" spans="1:5" x14ac:dyDescent="0.25">
      <c r="A111" t="s">
        <v>339</v>
      </c>
      <c r="B111" s="1">
        <v>24.6413043478261</v>
      </c>
      <c r="C111">
        <v>109</v>
      </c>
      <c r="D111" s="1">
        <v>41.902018629146141</v>
      </c>
      <c r="E111" s="1"/>
    </row>
    <row r="112" spans="1:5" x14ac:dyDescent="0.25">
      <c r="A112" t="s">
        <v>340</v>
      </c>
      <c r="B112" s="1">
        <v>24.6875</v>
      </c>
      <c r="C112">
        <v>110</v>
      </c>
      <c r="D112" s="1">
        <v>41.941978261535453</v>
      </c>
      <c r="E112" s="1"/>
    </row>
    <row r="113" spans="1:5" x14ac:dyDescent="0.25">
      <c r="A113" t="s">
        <v>341</v>
      </c>
      <c r="B113" s="1">
        <v>24.6613636363636</v>
      </c>
      <c r="C113">
        <v>111</v>
      </c>
      <c r="D113" s="1">
        <v>41.157815558724607</v>
      </c>
      <c r="E113" s="1"/>
    </row>
    <row r="114" spans="1:5" x14ac:dyDescent="0.25">
      <c r="A114" t="s">
        <v>342</v>
      </c>
      <c r="B114" s="1">
        <v>29.9636363636364</v>
      </c>
      <c r="C114">
        <v>112</v>
      </c>
      <c r="D114" s="1">
        <v>40.959842035377868</v>
      </c>
      <c r="E114" s="1"/>
    </row>
    <row r="115" spans="1:5" x14ac:dyDescent="0.25">
      <c r="A115" t="s">
        <v>343</v>
      </c>
      <c r="B115" s="1">
        <v>33.511904761904802</v>
      </c>
      <c r="C115">
        <v>113</v>
      </c>
      <c r="D115" s="1">
        <v>40.602528161430534</v>
      </c>
      <c r="E115" s="1"/>
    </row>
    <row r="116" spans="1:5" x14ac:dyDescent="0.25">
      <c r="A116" t="s">
        <v>344</v>
      </c>
      <c r="B116" s="1">
        <v>33.088636363636397</v>
      </c>
      <c r="C116">
        <v>114</v>
      </c>
      <c r="D116" s="1">
        <v>40.412548122062724</v>
      </c>
      <c r="E116" s="1"/>
    </row>
    <row r="117" spans="1:5" x14ac:dyDescent="0.25">
      <c r="A117" t="s">
        <v>345</v>
      </c>
      <c r="B117" s="1">
        <v>32.360869565217399</v>
      </c>
      <c r="C117">
        <v>115</v>
      </c>
      <c r="D117" s="1">
        <v>39.887855070397876</v>
      </c>
      <c r="E117" s="1"/>
    </row>
    <row r="118" spans="1:5" x14ac:dyDescent="0.25">
      <c r="A118" t="s">
        <v>346</v>
      </c>
      <c r="B118" s="1">
        <v>31.376190476190501</v>
      </c>
      <c r="C118">
        <v>116</v>
      </c>
      <c r="D118" s="1">
        <v>39.695910565784068</v>
      </c>
      <c r="E118" s="1"/>
    </row>
    <row r="119" spans="1:5" x14ac:dyDescent="0.25">
      <c r="A119" t="s">
        <v>347</v>
      </c>
      <c r="B119" s="1">
        <v>29.981818181818198</v>
      </c>
      <c r="C119">
        <v>117</v>
      </c>
      <c r="D119" s="1">
        <v>41.505186259896277</v>
      </c>
      <c r="E119" s="1"/>
    </row>
    <row r="120" spans="1:5" x14ac:dyDescent="0.25">
      <c r="A120" t="s">
        <v>348</v>
      </c>
      <c r="B120" s="1">
        <v>29.636363636363601</v>
      </c>
      <c r="C120">
        <v>118</v>
      </c>
      <c r="D120" s="1">
        <v>41.291448630741357</v>
      </c>
      <c r="E120" s="1"/>
    </row>
    <row r="121" spans="1:5" x14ac:dyDescent="0.25">
      <c r="A121" t="s">
        <v>349</v>
      </c>
      <c r="B121" s="1">
        <v>29.485714285714302</v>
      </c>
      <c r="C121">
        <v>119</v>
      </c>
      <c r="D121" s="1">
        <v>40.243220587034905</v>
      </c>
      <c r="E121" s="1"/>
    </row>
    <row r="122" spans="1:5" x14ac:dyDescent="0.25">
      <c r="A122" t="s">
        <v>350</v>
      </c>
      <c r="B122" s="1">
        <v>29.773913043478299</v>
      </c>
      <c r="C122">
        <v>120</v>
      </c>
      <c r="D122" s="1">
        <v>40.877941149146196</v>
      </c>
      <c r="E122" s="1"/>
    </row>
    <row r="123" spans="1:5" x14ac:dyDescent="0.25">
      <c r="A123" t="s">
        <v>351</v>
      </c>
      <c r="B123" s="1">
        <v>29.8571428571429</v>
      </c>
      <c r="C123">
        <v>121</v>
      </c>
      <c r="D123" s="1">
        <v>43.657958262910611</v>
      </c>
      <c r="E123" s="1"/>
    </row>
    <row r="124" spans="1:5" x14ac:dyDescent="0.25">
      <c r="A124" t="s">
        <v>352</v>
      </c>
      <c r="B124" s="1">
        <v>28.662500000000001</v>
      </c>
      <c r="C124">
        <v>122</v>
      </c>
      <c r="D124" s="1">
        <v>43.713186935593527</v>
      </c>
      <c r="E124" s="1"/>
    </row>
    <row r="125" spans="1:5" x14ac:dyDescent="0.25">
      <c r="A125" t="s">
        <v>353</v>
      </c>
      <c r="B125" s="1">
        <v>28.334782608695701</v>
      </c>
      <c r="C125">
        <v>123</v>
      </c>
      <c r="D125" s="1">
        <v>42.944293273076291</v>
      </c>
      <c r="E125" s="1"/>
    </row>
    <row r="126" spans="1:5" x14ac:dyDescent="0.25">
      <c r="A126" t="s">
        <v>354</v>
      </c>
      <c r="B126" s="1">
        <v>29.7522727272727</v>
      </c>
      <c r="C126">
        <v>124</v>
      </c>
      <c r="D126" s="1">
        <v>42.761588790023154</v>
      </c>
      <c r="E126" s="1"/>
    </row>
    <row r="127" spans="1:5" x14ac:dyDescent="0.25">
      <c r="A127" t="s">
        <v>355</v>
      </c>
      <c r="B127" s="1">
        <v>30.257142857142899</v>
      </c>
      <c r="C127">
        <v>125</v>
      </c>
      <c r="D127" s="1">
        <v>42.419543956369424</v>
      </c>
      <c r="E127" s="1"/>
    </row>
    <row r="128" spans="1:5" x14ac:dyDescent="0.25">
      <c r="A128" t="s">
        <v>356</v>
      </c>
      <c r="B128" s="1">
        <v>32.142105263157902</v>
      </c>
      <c r="C128">
        <v>126</v>
      </c>
      <c r="D128" s="1">
        <v>42.244832957295216</v>
      </c>
      <c r="E128" s="1"/>
    </row>
    <row r="129" spans="1:5" x14ac:dyDescent="0.25">
      <c r="A129" t="s">
        <v>357</v>
      </c>
      <c r="B129" s="1">
        <v>32.338636363636397</v>
      </c>
      <c r="C129">
        <v>127</v>
      </c>
      <c r="D129" s="1">
        <v>41.735408945923979</v>
      </c>
      <c r="E129" s="1"/>
    </row>
    <row r="130" spans="1:5" x14ac:dyDescent="0.25">
      <c r="A130" t="s">
        <v>358</v>
      </c>
      <c r="B130" s="1">
        <v>32.147727272727302</v>
      </c>
      <c r="C130">
        <v>128</v>
      </c>
      <c r="D130" s="1">
        <v>41.558733481603767</v>
      </c>
      <c r="E130" s="1"/>
    </row>
    <row r="131" spans="1:5" x14ac:dyDescent="0.25">
      <c r="A131" t="s">
        <v>359</v>
      </c>
      <c r="B131" s="1">
        <v>45.078125</v>
      </c>
      <c r="C131">
        <v>129</v>
      </c>
      <c r="D131" s="1">
        <v>43.383278216009586</v>
      </c>
      <c r="E131" s="1"/>
    </row>
    <row r="132" spans="1:5" x14ac:dyDescent="0.25">
      <c r="A132" t="s">
        <v>360</v>
      </c>
      <c r="B132" s="1">
        <v>38.476190476190503</v>
      </c>
      <c r="C132">
        <v>130</v>
      </c>
      <c r="D132" s="1">
        <v>43.184809627148262</v>
      </c>
      <c r="E132" s="1"/>
    </row>
    <row r="133" spans="1:5" x14ac:dyDescent="0.25">
      <c r="A133" t="s">
        <v>361</v>
      </c>
      <c r="B133" s="1">
        <v>31.099584036972999</v>
      </c>
      <c r="C133">
        <v>131</v>
      </c>
      <c r="D133" s="1">
        <v>42.15185062373542</v>
      </c>
      <c r="E133" s="1"/>
    </row>
    <row r="134" spans="1:5" x14ac:dyDescent="0.25">
      <c r="A134" t="s">
        <v>362</v>
      </c>
      <c r="B134" s="1">
        <v>36.129303027444998</v>
      </c>
      <c r="C134">
        <v>132</v>
      </c>
      <c r="D134" s="1">
        <v>42.801840226140314</v>
      </c>
      <c r="E134" s="1"/>
    </row>
    <row r="135" spans="1:5" x14ac:dyDescent="0.25">
      <c r="A135" t="s">
        <v>363</v>
      </c>
      <c r="B135" s="1">
        <v>36.872921185827899</v>
      </c>
      <c r="C135">
        <v>133</v>
      </c>
      <c r="D135" s="1">
        <v>45.597126380198333</v>
      </c>
      <c r="E135" s="1"/>
    </row>
    <row r="136" spans="1:5" x14ac:dyDescent="0.25">
      <c r="A136" t="s">
        <v>364</v>
      </c>
      <c r="B136" s="1">
        <v>35.8319143167028</v>
      </c>
      <c r="C136">
        <v>134</v>
      </c>
      <c r="D136" s="1">
        <v>45.667624093174851</v>
      </c>
      <c r="E136" s="1"/>
    </row>
    <row r="137" spans="1:5" x14ac:dyDescent="0.25">
      <c r="A137" t="s">
        <v>365</v>
      </c>
      <c r="B137" s="1">
        <v>45.514701028010897</v>
      </c>
      <c r="C137">
        <v>135</v>
      </c>
      <c r="D137" s="1">
        <v>44.913999470951218</v>
      </c>
      <c r="E137" s="1"/>
    </row>
    <row r="138" spans="1:5" x14ac:dyDescent="0.25">
      <c r="A138" t="s">
        <v>366</v>
      </c>
      <c r="B138" s="1">
        <v>48.704730916227597</v>
      </c>
      <c r="C138">
        <v>136</v>
      </c>
      <c r="D138" s="1">
        <v>44.746564028191692</v>
      </c>
      <c r="E138" s="1"/>
    </row>
    <row r="139" spans="1:5" x14ac:dyDescent="0.25">
      <c r="A139" t="s">
        <v>367</v>
      </c>
      <c r="B139" s="1">
        <v>40.891626405048299</v>
      </c>
      <c r="C139">
        <v>137</v>
      </c>
      <c r="D139" s="1">
        <v>44.419788234831557</v>
      </c>
      <c r="E139" s="1"/>
    </row>
    <row r="140" spans="1:5" x14ac:dyDescent="0.25">
      <c r="A140" t="s">
        <v>368</v>
      </c>
      <c r="B140" s="1">
        <v>40.331517452179</v>
      </c>
      <c r="C140">
        <v>138</v>
      </c>
      <c r="D140" s="1">
        <v>44.26034627605096</v>
      </c>
      <c r="E140" s="1"/>
    </row>
    <row r="141" spans="1:5" x14ac:dyDescent="0.25">
      <c r="A141" t="s">
        <v>369</v>
      </c>
      <c r="B141" s="1">
        <v>38.939159177770797</v>
      </c>
      <c r="C141">
        <v>139</v>
      </c>
      <c r="D141" s="1">
        <v>43.766191304973326</v>
      </c>
      <c r="E141" s="1"/>
    </row>
    <row r="142" spans="1:5" x14ac:dyDescent="0.25">
      <c r="A142" t="s">
        <v>370</v>
      </c>
      <c r="B142" s="1">
        <v>39.802308308969103</v>
      </c>
      <c r="C142">
        <v>140</v>
      </c>
      <c r="D142" s="1">
        <v>43.604784880946717</v>
      </c>
      <c r="E142" s="1"/>
    </row>
    <row r="143" spans="1:5" x14ac:dyDescent="0.25">
      <c r="A143" t="s">
        <v>371</v>
      </c>
      <c r="B143" s="1">
        <v>40.950391934529598</v>
      </c>
      <c r="C143">
        <v>141</v>
      </c>
      <c r="D143" s="1">
        <v>45.444598655646139</v>
      </c>
      <c r="E143" s="1"/>
    </row>
    <row r="144" spans="1:5" x14ac:dyDescent="0.25">
      <c r="A144" t="s">
        <v>372</v>
      </c>
      <c r="B144" s="1">
        <v>41.303597252349903</v>
      </c>
      <c r="C144">
        <v>142</v>
      </c>
      <c r="D144" s="1">
        <v>45.261399107078418</v>
      </c>
      <c r="E144" s="1"/>
    </row>
    <row r="145" spans="1:5" x14ac:dyDescent="0.25">
      <c r="A145" t="s">
        <v>373</v>
      </c>
      <c r="B145" s="1">
        <v>40.954064780122202</v>
      </c>
      <c r="C145">
        <v>143</v>
      </c>
      <c r="D145" s="1">
        <v>44.24370914395918</v>
      </c>
      <c r="E145" s="1"/>
    </row>
    <row r="146" spans="1:5" x14ac:dyDescent="0.25">
      <c r="A146" t="s">
        <v>374</v>
      </c>
      <c r="B146" s="1">
        <v>39.178243936107201</v>
      </c>
      <c r="C146">
        <v>144</v>
      </c>
      <c r="D146" s="1">
        <v>44.908967786657684</v>
      </c>
      <c r="E146" s="1"/>
    </row>
    <row r="147" spans="1:5" x14ac:dyDescent="0.25">
      <c r="A147" t="s">
        <v>375</v>
      </c>
      <c r="B147" s="1">
        <v>40.063399723920199</v>
      </c>
      <c r="C147">
        <v>145</v>
      </c>
      <c r="D147" s="1">
        <v>47.719522981009305</v>
      </c>
      <c r="E147" s="1"/>
    </row>
    <row r="148" spans="1:5" x14ac:dyDescent="0.25">
      <c r="A148" t="s">
        <v>376</v>
      </c>
      <c r="B148" s="1">
        <v>41.314370932754798</v>
      </c>
      <c r="C148">
        <v>146</v>
      </c>
      <c r="D148" s="1">
        <v>47.805289734279427</v>
      </c>
      <c r="E148" s="1"/>
    </row>
    <row r="149" spans="1:5" x14ac:dyDescent="0.25">
      <c r="A149" t="s">
        <v>377</v>
      </c>
      <c r="B149" s="1">
        <v>40.741523004909098</v>
      </c>
      <c r="C149">
        <v>147</v>
      </c>
      <c r="D149" s="1">
        <v>47.066934152349397</v>
      </c>
      <c r="E149" s="1"/>
    </row>
    <row r="150" spans="1:5" x14ac:dyDescent="0.25">
      <c r="A150" t="s">
        <v>378</v>
      </c>
      <c r="B150" s="1">
        <v>41.762017353579097</v>
      </c>
      <c r="C150">
        <v>148</v>
      </c>
      <c r="D150" s="1">
        <v>46.914767749883474</v>
      </c>
      <c r="E150" s="1"/>
    </row>
    <row r="151" spans="1:5" x14ac:dyDescent="0.25">
      <c r="A151" t="s">
        <v>379</v>
      </c>
      <c r="B151" s="1">
        <v>43.462666226539497</v>
      </c>
      <c r="C151">
        <v>149</v>
      </c>
      <c r="D151" s="1">
        <v>46.60326099681695</v>
      </c>
      <c r="E151" s="1"/>
    </row>
    <row r="152" spans="1:5" x14ac:dyDescent="0.25">
      <c r="A152" t="s">
        <v>380</v>
      </c>
      <c r="B152" s="1">
        <v>45.700483139420101</v>
      </c>
      <c r="C152">
        <v>150</v>
      </c>
      <c r="D152" s="1">
        <v>46.459088078329948</v>
      </c>
      <c r="E152" s="1"/>
    </row>
    <row r="153" spans="1:5" x14ac:dyDescent="0.25">
      <c r="A153" t="s">
        <v>381</v>
      </c>
      <c r="B153" s="1">
        <v>45.247533829149802</v>
      </c>
      <c r="C153">
        <v>151</v>
      </c>
      <c r="D153" s="1">
        <v>45.980202147545917</v>
      </c>
      <c r="E153" s="1"/>
    </row>
    <row r="154" spans="1:5" x14ac:dyDescent="0.25">
      <c r="A154" t="s">
        <v>382</v>
      </c>
      <c r="B154" s="1">
        <v>46.377180986513103</v>
      </c>
      <c r="C154">
        <v>152</v>
      </c>
      <c r="D154" s="1">
        <v>45.834064763812918</v>
      </c>
      <c r="E154" s="1"/>
    </row>
    <row r="155" spans="1:5" x14ac:dyDescent="0.25">
      <c r="A155" t="s">
        <v>383</v>
      </c>
      <c r="B155" s="1">
        <v>53.202742485280297</v>
      </c>
      <c r="C155">
        <v>153</v>
      </c>
      <c r="D155" s="1">
        <v>47.689147578805944</v>
      </c>
      <c r="E155" s="1"/>
    </row>
    <row r="156" spans="1:5" x14ac:dyDescent="0.25">
      <c r="A156" t="s">
        <v>384</v>
      </c>
      <c r="B156" s="1">
        <v>57.646413429303799</v>
      </c>
      <c r="C156">
        <v>154</v>
      </c>
      <c r="D156" s="1">
        <v>47.521217070531833</v>
      </c>
      <c r="E156" s="1"/>
    </row>
    <row r="157" spans="1:5" x14ac:dyDescent="0.25">
      <c r="A157" t="s">
        <v>385</v>
      </c>
      <c r="B157" s="1">
        <v>62.285951981857501</v>
      </c>
      <c r="C157">
        <v>155</v>
      </c>
      <c r="D157" s="1">
        <v>46.51879614770619</v>
      </c>
      <c r="E157" s="1"/>
    </row>
    <row r="158" spans="1:5" x14ac:dyDescent="0.25">
      <c r="A158" t="s">
        <v>386</v>
      </c>
      <c r="B158" s="1">
        <v>70.059704575973399</v>
      </c>
      <c r="C158">
        <v>156</v>
      </c>
      <c r="D158" s="1">
        <v>47.199323830698297</v>
      </c>
      <c r="E158" s="1"/>
    </row>
    <row r="159" spans="1:5" x14ac:dyDescent="0.25">
      <c r="A159" t="s">
        <v>387</v>
      </c>
      <c r="B159" s="1">
        <v>80.363458455154102</v>
      </c>
      <c r="C159">
        <v>157</v>
      </c>
      <c r="D159" s="1">
        <v>50.025148065343522</v>
      </c>
      <c r="E159" s="1"/>
    </row>
    <row r="160" spans="1:5" x14ac:dyDescent="0.25">
      <c r="A160" t="s">
        <v>388</v>
      </c>
      <c r="B160" s="1">
        <v>81.318200599111506</v>
      </c>
      <c r="C160">
        <v>158</v>
      </c>
      <c r="D160" s="1">
        <v>50.126183858907254</v>
      </c>
      <c r="E160" s="1"/>
    </row>
    <row r="161" spans="1:5" x14ac:dyDescent="0.25">
      <c r="A161" t="s">
        <v>389</v>
      </c>
      <c r="B161" s="1">
        <v>71.814275384774206</v>
      </c>
      <c r="C161">
        <v>159</v>
      </c>
      <c r="D161" s="1">
        <v>49.403097317270827</v>
      </c>
      <c r="E161" s="1"/>
    </row>
    <row r="162" spans="1:5" x14ac:dyDescent="0.25">
      <c r="A162" t="s">
        <v>390</v>
      </c>
      <c r="B162" s="1">
        <v>71.638853283375894</v>
      </c>
      <c r="C162">
        <v>160</v>
      </c>
      <c r="D162" s="1">
        <v>49.266199955098507</v>
      </c>
      <c r="E162" s="1"/>
    </row>
    <row r="163" spans="1:5" x14ac:dyDescent="0.25">
      <c r="A163" t="s">
        <v>391</v>
      </c>
      <c r="B163" s="1">
        <v>73.950190983683797</v>
      </c>
      <c r="C163">
        <v>161</v>
      </c>
      <c r="D163" s="1">
        <v>48.969962242325586</v>
      </c>
      <c r="E163" s="1"/>
    </row>
    <row r="164" spans="1:5" x14ac:dyDescent="0.25">
      <c r="A164" t="s">
        <v>392</v>
      </c>
      <c r="B164" s="1">
        <v>69.187228850325297</v>
      </c>
      <c r="C164">
        <v>162</v>
      </c>
      <c r="D164" s="1">
        <v>48.841058364132188</v>
      </c>
      <c r="E164" s="1"/>
    </row>
    <row r="165" spans="1:5" x14ac:dyDescent="0.25">
      <c r="A165" t="s">
        <v>393</v>
      </c>
      <c r="B165" s="1">
        <v>68.251850891257007</v>
      </c>
      <c r="C165">
        <v>163</v>
      </c>
      <c r="D165" s="1">
        <v>48.377441473641767</v>
      </c>
      <c r="E165" s="1"/>
    </row>
    <row r="166" spans="1:5" x14ac:dyDescent="0.25">
      <c r="A166" t="s">
        <v>394</v>
      </c>
      <c r="B166" s="1">
        <v>65.288503253795994</v>
      </c>
      <c r="C166">
        <v>164</v>
      </c>
      <c r="D166" s="1">
        <v>48.246573130202364</v>
      </c>
      <c r="E166" s="1"/>
    </row>
    <row r="167" spans="1:5" x14ac:dyDescent="0.25">
      <c r="A167" t="s">
        <v>395</v>
      </c>
      <c r="B167" s="1">
        <v>64.630539200495704</v>
      </c>
      <c r="C167">
        <v>165</v>
      </c>
      <c r="D167" s="1">
        <v>50.116924985489</v>
      </c>
      <c r="E167" s="1"/>
    </row>
    <row r="168" spans="1:5" x14ac:dyDescent="0.25">
      <c r="A168" t="s">
        <v>396</v>
      </c>
      <c r="B168" s="1">
        <v>66.511081769310394</v>
      </c>
      <c r="C168">
        <v>166</v>
      </c>
      <c r="D168" s="1">
        <v>49.964263517508485</v>
      </c>
      <c r="E168" s="1"/>
    </row>
    <row r="169" spans="1:5" x14ac:dyDescent="0.25">
      <c r="A169" t="s">
        <v>397</v>
      </c>
      <c r="B169" s="1">
        <v>63.158777502324</v>
      </c>
      <c r="C169">
        <v>167</v>
      </c>
      <c r="D169" s="1">
        <v>48.97711163497646</v>
      </c>
      <c r="E169" s="1"/>
    </row>
    <row r="170" spans="1:5" x14ac:dyDescent="0.25">
      <c r="A170" t="s">
        <v>398</v>
      </c>
      <c r="B170" s="1">
        <v>60.219976336028303</v>
      </c>
      <c r="C170">
        <v>168</v>
      </c>
      <c r="D170" s="1">
        <v>49.672908358262163</v>
      </c>
      <c r="E170" s="1"/>
    </row>
    <row r="171" spans="1:5" x14ac:dyDescent="0.25">
      <c r="A171" t="s">
        <v>399</v>
      </c>
      <c r="B171" s="1">
        <v>58.9595515420163</v>
      </c>
      <c r="C171">
        <v>169</v>
      </c>
      <c r="D171" s="1">
        <v>52.514001633200998</v>
      </c>
      <c r="E171" s="1"/>
    </row>
    <row r="172" spans="1:5" x14ac:dyDescent="0.25">
      <c r="A172" t="s">
        <v>400</v>
      </c>
      <c r="B172" s="1">
        <v>54.315509761388199</v>
      </c>
      <c r="C172">
        <v>170</v>
      </c>
      <c r="D172" s="1">
        <v>52.630306467058325</v>
      </c>
      <c r="E172" s="1"/>
    </row>
    <row r="173" spans="1:5" x14ac:dyDescent="0.25">
      <c r="A173" t="s">
        <v>401</v>
      </c>
      <c r="B173" s="1">
        <v>51.834869848156103</v>
      </c>
      <c r="C173">
        <v>171</v>
      </c>
      <c r="D173" s="1">
        <v>51.922488965715509</v>
      </c>
      <c r="E173" s="1"/>
    </row>
    <row r="174" spans="1:5" x14ac:dyDescent="0.25">
      <c r="A174" t="s">
        <v>402</v>
      </c>
      <c r="B174" s="1">
        <v>52.685133602839599</v>
      </c>
      <c r="C174">
        <v>172</v>
      </c>
      <c r="D174" s="1">
        <v>51.800860643836785</v>
      </c>
      <c r="E174" s="1"/>
    </row>
    <row r="175" spans="1:5" x14ac:dyDescent="0.25">
      <c r="A175" t="s">
        <v>403</v>
      </c>
      <c r="B175" s="1">
        <v>57.305573358311896</v>
      </c>
      <c r="C175">
        <v>173</v>
      </c>
      <c r="D175" s="1">
        <v>51.519891971357474</v>
      </c>
      <c r="E175" s="1"/>
    </row>
    <row r="176" spans="1:5" x14ac:dyDescent="0.25">
      <c r="A176" t="s">
        <v>404</v>
      </c>
      <c r="B176" s="1">
        <v>59.576528767689197</v>
      </c>
      <c r="C176">
        <v>174</v>
      </c>
      <c r="D176" s="1">
        <v>51.406257133457679</v>
      </c>
      <c r="E176" s="1"/>
    </row>
    <row r="177" spans="1:6" x14ac:dyDescent="0.25">
      <c r="A177" t="s">
        <v>405</v>
      </c>
      <c r="B177" s="1">
        <v>58.9472554937281</v>
      </c>
      <c r="C177">
        <v>175</v>
      </c>
      <c r="D177" s="1">
        <v>50.957909283260861</v>
      </c>
      <c r="E177" s="1"/>
    </row>
    <row r="178" spans="1:6" x14ac:dyDescent="0.25">
      <c r="A178" t="s">
        <v>406</v>
      </c>
      <c r="B178" s="1">
        <v>58.966661501910799</v>
      </c>
      <c r="C178">
        <v>176</v>
      </c>
      <c r="D178" s="1">
        <v>50.842309980115068</v>
      </c>
      <c r="E178" s="1"/>
    </row>
    <row r="179" spans="1:6" x14ac:dyDescent="0.25">
      <c r="A179" t="s">
        <v>407</v>
      </c>
      <c r="B179" s="1">
        <v>62.875443699467397</v>
      </c>
      <c r="C179">
        <v>177</v>
      </c>
      <c r="D179" s="1">
        <v>52.7279308756953</v>
      </c>
      <c r="E179" s="1"/>
    </row>
    <row r="180" spans="1:6" x14ac:dyDescent="0.25">
      <c r="A180" t="s">
        <v>408</v>
      </c>
      <c r="B180" s="1">
        <v>63.958773460341298</v>
      </c>
      <c r="C180">
        <v>178</v>
      </c>
      <c r="D180" s="1">
        <v>52.590538448008388</v>
      </c>
      <c r="E180" s="1">
        <v>63.958773460341298</v>
      </c>
    </row>
    <row r="181" spans="1:6" x14ac:dyDescent="0.25">
      <c r="A181" t="s">
        <v>517</v>
      </c>
      <c r="B181" s="50"/>
      <c r="C181" s="50">
        <v>179</v>
      </c>
      <c r="D181" s="51">
        <v>51.618655605769966</v>
      </c>
      <c r="E181" s="51">
        <v>51.618655605769966</v>
      </c>
      <c r="F181" s="50"/>
    </row>
    <row r="182" spans="1:6" x14ac:dyDescent="0.25">
      <c r="A182" t="s">
        <v>518</v>
      </c>
      <c r="B182" s="50"/>
      <c r="C182" s="50">
        <v>180</v>
      </c>
      <c r="D182" s="51">
        <v>52.329721369349279</v>
      </c>
      <c r="E182" s="51">
        <v>52.329721369349279</v>
      </c>
      <c r="F182" s="50"/>
    </row>
    <row r="183" spans="1:6" x14ac:dyDescent="0.25">
      <c r="A183" t="s">
        <v>519</v>
      </c>
      <c r="B183" s="50"/>
      <c r="C183" s="50">
        <v>181</v>
      </c>
      <c r="D183" s="51">
        <v>55.18608368458171</v>
      </c>
      <c r="E183" s="51">
        <v>55.18608368458171</v>
      </c>
      <c r="F183" s="50"/>
    </row>
    <row r="184" spans="1:6" x14ac:dyDescent="0.25">
      <c r="A184" t="s">
        <v>520</v>
      </c>
      <c r="B184" s="50"/>
      <c r="C184" s="50">
        <v>182</v>
      </c>
      <c r="D184" s="51">
        <v>55.317657558732648</v>
      </c>
      <c r="E184" s="51">
        <v>55.317657558732648</v>
      </c>
      <c r="F184" s="50"/>
    </row>
    <row r="185" spans="1:6" x14ac:dyDescent="0.25">
      <c r="A185" t="s">
        <v>521</v>
      </c>
      <c r="B185" s="50"/>
      <c r="C185" s="50">
        <v>183</v>
      </c>
      <c r="D185" s="51">
        <v>54.625109097683428</v>
      </c>
      <c r="E185" s="51">
        <v>54.625109097683428</v>
      </c>
      <c r="F185" s="50"/>
    </row>
    <row r="186" spans="1:6" x14ac:dyDescent="0.25">
      <c r="A186" t="s">
        <v>522</v>
      </c>
      <c r="B186" s="50"/>
      <c r="C186" s="50">
        <v>184</v>
      </c>
      <c r="D186" s="51">
        <v>54.518749816098314</v>
      </c>
      <c r="E186" s="51">
        <v>54.518749816098314</v>
      </c>
      <c r="F186" s="50"/>
    </row>
    <row r="187" spans="1:6" x14ac:dyDescent="0.25">
      <c r="A187" s="41" t="s">
        <v>523</v>
      </c>
      <c r="B187" s="50"/>
      <c r="C187" s="50">
        <v>185</v>
      </c>
      <c r="D187" s="51">
        <v>54.253050183912606</v>
      </c>
      <c r="E187" s="51">
        <v>54.253050183912606</v>
      </c>
      <c r="F187" s="50"/>
    </row>
    <row r="188" spans="1:6" x14ac:dyDescent="0.25">
      <c r="A188" s="41" t="s">
        <v>524</v>
      </c>
      <c r="B188" s="50"/>
      <c r="C188" s="50">
        <v>186</v>
      </c>
      <c r="D188" s="51">
        <v>54.154684386306421</v>
      </c>
      <c r="E188" s="51">
        <v>54.154684386306421</v>
      </c>
      <c r="F188" s="50"/>
    </row>
    <row r="189" spans="1:6" x14ac:dyDescent="0.25">
      <c r="A189" s="41" t="s">
        <v>525</v>
      </c>
      <c r="B189" s="50"/>
      <c r="C189" s="50">
        <v>187</v>
      </c>
      <c r="D189" s="51">
        <v>53.721605576403206</v>
      </c>
      <c r="E189" s="51">
        <v>53.721605576403206</v>
      </c>
      <c r="F189" s="50"/>
    </row>
    <row r="190" spans="1:6" x14ac:dyDescent="0.25">
      <c r="A190" s="41" t="s">
        <v>526</v>
      </c>
      <c r="B190" s="50"/>
      <c r="C190" s="50">
        <v>188</v>
      </c>
      <c r="D190" s="51">
        <v>53.621275313551017</v>
      </c>
      <c r="E190" s="51">
        <v>53.621275313551017</v>
      </c>
      <c r="F190" s="50"/>
    </row>
    <row r="191" spans="1:6" x14ac:dyDescent="0.25">
      <c r="A191" s="41" t="s">
        <v>527</v>
      </c>
      <c r="B191" s="50"/>
      <c r="C191" s="50">
        <v>189</v>
      </c>
      <c r="D191" s="51">
        <v>55.522165249424852</v>
      </c>
      <c r="E191" s="51">
        <v>55.522165249424852</v>
      </c>
      <c r="F191" s="50"/>
    </row>
    <row r="192" spans="1:6" x14ac:dyDescent="0.25">
      <c r="A192" s="41" t="s">
        <v>528</v>
      </c>
      <c r="B192" s="50"/>
      <c r="C192" s="50">
        <v>190</v>
      </c>
      <c r="D192" s="51">
        <v>55.400041862031543</v>
      </c>
      <c r="E192" s="51">
        <v>55.400041862031543</v>
      </c>
      <c r="F192" s="50"/>
    </row>
    <row r="193" spans="1:6" x14ac:dyDescent="0.25">
      <c r="A193" t="s">
        <v>529</v>
      </c>
      <c r="B193" s="50"/>
      <c r="C193" s="50">
        <v>191</v>
      </c>
      <c r="D193" s="51">
        <v>54.443428060086724</v>
      </c>
      <c r="E193" s="51">
        <v>54.443428060086724</v>
      </c>
      <c r="F193" s="50"/>
    </row>
    <row r="194" spans="1:6" x14ac:dyDescent="0.25">
      <c r="A194" t="s">
        <v>530</v>
      </c>
      <c r="B194" s="50"/>
      <c r="C194" s="50">
        <v>192</v>
      </c>
      <c r="D194" s="51">
        <v>55.16976286395964</v>
      </c>
      <c r="E194" s="51">
        <v>55.16976286395964</v>
      </c>
      <c r="F194" s="5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6A7D-CB71-4E1A-993E-77ABC7591348}">
  <dimension ref="F131:F135"/>
  <sheetViews>
    <sheetView tabSelected="1" topLeftCell="A79" zoomScaleNormal="100" workbookViewId="0">
      <selection activeCell="Q50" sqref="Q50"/>
    </sheetView>
  </sheetViews>
  <sheetFormatPr baseColWidth="10" defaultRowHeight="15" x14ac:dyDescent="0.25"/>
  <sheetData>
    <row r="131" spans="6:6" ht="18.75" x14ac:dyDescent="0.25">
      <c r="F131" s="55"/>
    </row>
    <row r="132" spans="6:6" ht="18.75" x14ac:dyDescent="0.25">
      <c r="F132" s="55"/>
    </row>
    <row r="135" spans="6:6" ht="18.75" x14ac:dyDescent="0.25">
      <c r="F135" s="5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9C952B-30D8-45BC-B7D3-1D5B6AF8C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dataset 1992-2025</vt:lpstr>
      <vt:lpstr>dataset 2011-2025</vt:lpstr>
      <vt:lpstr>Boite à moustache</vt:lpstr>
      <vt:lpstr>Additf linéaire</vt:lpstr>
      <vt:lpstr>Additf quadratique</vt:lpstr>
      <vt:lpstr>Additf exponentiel</vt:lpstr>
      <vt:lpstr>LES quadratique</vt:lpstr>
      <vt:lpstr>Prévisions</vt:lpstr>
      <vt:lpstr>Prévision_g</vt:lpstr>
      <vt:lpstr>graph_camille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Nathaël BENOIT</dc:creator>
  <cp:keywords/>
  <dc:description/>
  <cp:lastModifiedBy>NATHAEL BENOIT</cp:lastModifiedBy>
  <cp:revision/>
  <dcterms:created xsi:type="dcterms:W3CDTF">2025-11-17T13:00:31Z</dcterms:created>
  <dcterms:modified xsi:type="dcterms:W3CDTF">2025-12-05T15:34:40Z</dcterms:modified>
  <cp:category/>
  <cp:contentStatus/>
</cp:coreProperties>
</file>